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9A949BC-C13E-46C7-8EBB-60F354DCA1E9}" xr6:coauthVersionLast="47" xr6:coauthVersionMax="47" xr10:uidLastSave="{00000000-0000-0000-0000-000000000000}"/>
  <bookViews>
    <workbookView xWindow="-120" yWindow="-120" windowWidth="20730" windowHeight="10545" xr2:uid="{00000000-000D-0000-FFFF-FFFF00000000}"/>
  </bookViews>
  <sheets>
    <sheet name="Bovinos_Activos" sheetId="1" r:id="rId1"/>
    <sheet name="Bovinos_Bruto" sheetId="2" r:id="rId2"/>
    <sheet name="Medicamentos" sheetId="3" r:id="rId3"/>
    <sheet name="Compra_Leche" sheetId="4" r:id="rId4"/>
    <sheet name="Transporte_Leche" sheetId="5" r:id="rId5"/>
    <sheet name="Transporte_Queso" sheetId="6" r:id="rId6"/>
    <sheet name="Venta_Queso" sheetId="7" r:id="rId7"/>
    <sheet name="Gastos_Fijos" sheetId="8" r:id="rId8"/>
    <sheet name="Dashboard_Resumen" sheetId="9" r:id="rId9"/>
    <sheet name="Produccion_Diaria" sheetId="10" r:id="rId10"/>
    <sheet name="Vacas_Lactancia" sheetId="11" r:id="rId11"/>
    <sheet name="Punto_Equilibrio" sheetId="12" r:id="rId12"/>
    <sheet name="Control_Reproductivo" sheetId="13" r:id="rId13"/>
    <sheet name="Indicadores_Repro" sheetId="14" r:id="rId14"/>
    <sheet name="Ranking_Vacas" sheetId="15" r:id="rId15"/>
    <sheet name="Utilidad_Mensual" sheetId="16" r:id="rId16"/>
    <sheet name="Proyeccion_Anual" sheetId="17" r:id="rId17"/>
    <sheet name="Panel_Alertas" sheetId="18" r:id="rId18"/>
  </sheets>
  <calcPr calcId="181029"/>
</workbook>
</file>

<file path=xl/calcChain.xml><?xml version="1.0" encoding="utf-8"?>
<calcChain xmlns="http://schemas.openxmlformats.org/spreadsheetml/2006/main">
  <c r="B4" i="18" l="1"/>
  <c r="B3" i="18"/>
  <c r="B3" i="17"/>
  <c r="B6" i="16"/>
  <c r="B5" i="16"/>
  <c r="B4" i="16"/>
  <c r="B3" i="16"/>
  <c r="B2" i="16"/>
  <c r="B7" i="16" s="1"/>
  <c r="C51" i="15"/>
  <c r="D51" i="15" s="1"/>
  <c r="C50" i="15"/>
  <c r="D50" i="15" s="1"/>
  <c r="C49" i="15"/>
  <c r="D49" i="15" s="1"/>
  <c r="C48" i="15"/>
  <c r="D48" i="15" s="1"/>
  <c r="C47" i="15"/>
  <c r="D47" i="15" s="1"/>
  <c r="C46" i="15"/>
  <c r="D46" i="15" s="1"/>
  <c r="C45" i="15"/>
  <c r="D45" i="15" s="1"/>
  <c r="C44" i="15"/>
  <c r="D44" i="15" s="1"/>
  <c r="C43" i="15"/>
  <c r="D43" i="15" s="1"/>
  <c r="C42" i="15"/>
  <c r="D42" i="15" s="1"/>
  <c r="C41" i="15"/>
  <c r="D41" i="15" s="1"/>
  <c r="C40" i="15"/>
  <c r="D40" i="15" s="1"/>
  <c r="C39" i="15"/>
  <c r="D39" i="15" s="1"/>
  <c r="C38" i="15"/>
  <c r="D38" i="15" s="1"/>
  <c r="C37" i="15"/>
  <c r="D37" i="15" s="1"/>
  <c r="C36" i="15"/>
  <c r="D36" i="15" s="1"/>
  <c r="C35" i="15"/>
  <c r="D35" i="15" s="1"/>
  <c r="C34" i="15"/>
  <c r="D34" i="15" s="1"/>
  <c r="C33" i="15"/>
  <c r="D33" i="15" s="1"/>
  <c r="C32" i="15"/>
  <c r="D32" i="15" s="1"/>
  <c r="C31" i="15"/>
  <c r="D31" i="15" s="1"/>
  <c r="C30" i="15"/>
  <c r="D30" i="15" s="1"/>
  <c r="C29" i="15"/>
  <c r="D29" i="15" s="1"/>
  <c r="C28" i="15"/>
  <c r="D28" i="15" s="1"/>
  <c r="C27" i="15"/>
  <c r="D27" i="15" s="1"/>
  <c r="C26" i="15"/>
  <c r="D26" i="15" s="1"/>
  <c r="C25" i="15"/>
  <c r="D25" i="15" s="1"/>
  <c r="C24" i="15"/>
  <c r="D24" i="15" s="1"/>
  <c r="C23" i="15"/>
  <c r="D23" i="15" s="1"/>
  <c r="C22" i="15"/>
  <c r="D22" i="15" s="1"/>
  <c r="C21" i="15"/>
  <c r="D21" i="15" s="1"/>
  <c r="C20" i="15"/>
  <c r="D20" i="15" s="1"/>
  <c r="C19" i="15"/>
  <c r="D19" i="15" s="1"/>
  <c r="C18" i="15"/>
  <c r="D18" i="15" s="1"/>
  <c r="C17" i="15"/>
  <c r="D17" i="15" s="1"/>
  <c r="C16" i="15"/>
  <c r="D16" i="15" s="1"/>
  <c r="C15" i="15"/>
  <c r="D15" i="15" s="1"/>
  <c r="C14" i="15"/>
  <c r="D14" i="15" s="1"/>
  <c r="C13" i="15"/>
  <c r="D13" i="15" s="1"/>
  <c r="C12" i="15"/>
  <c r="D12" i="15" s="1"/>
  <c r="C11" i="15"/>
  <c r="D11" i="15" s="1"/>
  <c r="C10" i="15"/>
  <c r="D10" i="15" s="1"/>
  <c r="C9" i="15"/>
  <c r="D9" i="15" s="1"/>
  <c r="C8" i="15"/>
  <c r="D8" i="15" s="1"/>
  <c r="C7" i="15"/>
  <c r="D7" i="15" s="1"/>
  <c r="C6" i="15"/>
  <c r="D6" i="15" s="1"/>
  <c r="C5" i="15"/>
  <c r="D5" i="15" s="1"/>
  <c r="C4" i="15"/>
  <c r="D4" i="15" s="1"/>
  <c r="C3" i="15"/>
  <c r="D3" i="15" s="1"/>
  <c r="C2" i="15"/>
  <c r="D2" i="15" s="1"/>
  <c r="B5" i="18" l="1"/>
  <c r="B2" i="17"/>
</calcChain>
</file>

<file path=xl/sharedStrings.xml><?xml version="1.0" encoding="utf-8"?>
<sst xmlns="http://schemas.openxmlformats.org/spreadsheetml/2006/main" count="1864" uniqueCount="334">
  <si>
    <t>FINCA</t>
  </si>
  <si>
    <t>Nombre/Arete</t>
  </si>
  <si>
    <t>Arete</t>
  </si>
  <si>
    <t>Sexo</t>
  </si>
  <si>
    <t>Edad (texto)</t>
  </si>
  <si>
    <t>Peso (texto)</t>
  </si>
  <si>
    <t>Peso (kg)</t>
  </si>
  <si>
    <t>Raza</t>
  </si>
  <si>
    <t>Fecha Nacimiento</t>
  </si>
  <si>
    <t>Anotaciones</t>
  </si>
  <si>
    <t>Edad (años aprox)</t>
  </si>
  <si>
    <t>Guadalupe</t>
  </si>
  <si>
    <t>Victoria</t>
  </si>
  <si>
    <t>Hembra</t>
  </si>
  <si>
    <t>7 Años</t>
  </si>
  <si>
    <t>500kgs</t>
  </si>
  <si>
    <t xml:space="preserve">  F1 Simbrah</t>
  </si>
  <si>
    <t>Desconocida</t>
  </si>
  <si>
    <t>Paturra</t>
  </si>
  <si>
    <t>4 Años</t>
  </si>
  <si>
    <t>300kg</t>
  </si>
  <si>
    <t>Brahman PATURRA</t>
  </si>
  <si>
    <t>Reina de Cartagena</t>
  </si>
  <si>
    <t xml:space="preserve">Hembra </t>
  </si>
  <si>
    <t>7 años</t>
  </si>
  <si>
    <t xml:space="preserve">400kgs </t>
  </si>
  <si>
    <t>GYR</t>
  </si>
  <si>
    <t>Tiene Registro Asocebu</t>
  </si>
  <si>
    <t>403-Indira</t>
  </si>
  <si>
    <t>3 años</t>
  </si>
  <si>
    <t>Girolanda F1</t>
  </si>
  <si>
    <t>Hijo de Indira H de 403</t>
  </si>
  <si>
    <t>Macho</t>
  </si>
  <si>
    <t>4 meses</t>
  </si>
  <si>
    <t>40kgs</t>
  </si>
  <si>
    <t>Girolanda F2</t>
  </si>
  <si>
    <t>2 años</t>
  </si>
  <si>
    <t>Enferma en emergencia invernal</t>
  </si>
  <si>
    <t>Hijo de 021 "Tomas de Aquino"</t>
  </si>
  <si>
    <t>RN</t>
  </si>
  <si>
    <t>Ternero enfermo a los 15 dias de nacido</t>
  </si>
  <si>
    <t>47 "mamá de Copito"</t>
  </si>
  <si>
    <t>3 Años</t>
  </si>
  <si>
    <t>Hijo de 047- "Copito"</t>
  </si>
  <si>
    <t>3 meses</t>
  </si>
  <si>
    <t>35kgs</t>
  </si>
  <si>
    <t>Nació enfermo, tratado por 5 dias con ATB y vitaminas, recuperado ok</t>
  </si>
  <si>
    <t>H de 073 "BLAS"- Huerfano</t>
  </si>
  <si>
    <t>2 meses</t>
  </si>
  <si>
    <t>35Kgs</t>
  </si>
  <si>
    <t>Girolando F2</t>
  </si>
  <si>
    <t>Nacio debil, temblor, recibio calsyn 1er dia, curacion de ombligo, se recuperó a las 48 horas, huerfano.</t>
  </si>
  <si>
    <t>Hijo de 053 "Lluvia"</t>
  </si>
  <si>
    <t>RN ok</t>
  </si>
  <si>
    <t>45 "Azabache"</t>
  </si>
  <si>
    <t>Hijo de 045 "Diana"</t>
  </si>
  <si>
    <t>186 "Noche"</t>
  </si>
  <si>
    <t>Hijo de 186 "Noche"</t>
  </si>
  <si>
    <t>52 "Nikita"</t>
  </si>
  <si>
    <t>Hematura persistente</t>
  </si>
  <si>
    <t>Hijo de 052 "Nikita"</t>
  </si>
  <si>
    <t>1 mes</t>
  </si>
  <si>
    <t>1317 "Cariñosa"</t>
  </si>
  <si>
    <t>Hijo de 1317 "Cariñito"</t>
  </si>
  <si>
    <t>818-3</t>
  </si>
  <si>
    <t>3C</t>
  </si>
  <si>
    <t>Shakira</t>
  </si>
  <si>
    <t>6 Años</t>
  </si>
  <si>
    <t>Parda Suizo x Cebu PATURRA</t>
  </si>
  <si>
    <t>Se traslada a 3C el 22-01-27</t>
  </si>
  <si>
    <t>Siete Mujeres</t>
  </si>
  <si>
    <t>250kg Aprox</t>
  </si>
  <si>
    <t>Cebu Paturro</t>
  </si>
  <si>
    <t>Se traslada a 3C el 22-01-28</t>
  </si>
  <si>
    <t>Carol</t>
  </si>
  <si>
    <t>No especifico</t>
  </si>
  <si>
    <t>Se traslada a 3C el 22-01-29</t>
  </si>
  <si>
    <t>Paturra Hija</t>
  </si>
  <si>
    <t>1 año</t>
  </si>
  <si>
    <t xml:space="preserve"> Brahman Rojo PATURRA</t>
  </si>
  <si>
    <t>14-09-25 Se retira dren de Abceso en buen estado general, gluteo ok. Se desconoce el origen.</t>
  </si>
  <si>
    <t>Ramsés</t>
  </si>
  <si>
    <t>Red Shindi</t>
  </si>
  <si>
    <t>320-N23</t>
  </si>
  <si>
    <t xml:space="preserve">Girolanda </t>
  </si>
  <si>
    <t>348-124</t>
  </si>
  <si>
    <t xml:space="preserve"> 2 años</t>
  </si>
  <si>
    <t>Girolanda Plus</t>
  </si>
  <si>
    <t>330-D23</t>
  </si>
  <si>
    <t>327-D23</t>
  </si>
  <si>
    <t>347-124</t>
  </si>
  <si>
    <t>328-D23</t>
  </si>
  <si>
    <t>350-124</t>
  </si>
  <si>
    <t>345-124</t>
  </si>
  <si>
    <t>Dina Luz - 018</t>
  </si>
  <si>
    <t>150kgs</t>
  </si>
  <si>
    <t>5 años</t>
  </si>
  <si>
    <t>580kgs</t>
  </si>
  <si>
    <t>Simbrah</t>
  </si>
  <si>
    <t>Hijo de 1751</t>
  </si>
  <si>
    <t>5 meses</t>
  </si>
  <si>
    <t>1757-0</t>
  </si>
  <si>
    <t xml:space="preserve">Hijo de 1757-0 </t>
  </si>
  <si>
    <t>1731-0</t>
  </si>
  <si>
    <t xml:space="preserve">Hijo de 1731-0 </t>
  </si>
  <si>
    <t>1697-0</t>
  </si>
  <si>
    <t>Hijo de 1697-0</t>
  </si>
  <si>
    <t>45kgs</t>
  </si>
  <si>
    <t>1799-0</t>
  </si>
  <si>
    <t xml:space="preserve">Hijo de 1799-0 </t>
  </si>
  <si>
    <t>504-220</t>
  </si>
  <si>
    <t>6 años</t>
  </si>
  <si>
    <t>600kgs</t>
  </si>
  <si>
    <t>Tiene Registro Asosimbrah</t>
  </si>
  <si>
    <t xml:space="preserve">Hijo de 504-220 </t>
  </si>
  <si>
    <t>1479-0</t>
  </si>
  <si>
    <t xml:space="preserve">Hijo de 1479-0 </t>
  </si>
  <si>
    <t>116-9</t>
  </si>
  <si>
    <t>1810-0</t>
  </si>
  <si>
    <t>13-02-26 Se traslada de Guadalupe a 3C por emergencia invernal</t>
  </si>
  <si>
    <t>294-123</t>
  </si>
  <si>
    <t>310-923</t>
  </si>
  <si>
    <t>Estado/Nota</t>
  </si>
  <si>
    <t>Edad</t>
  </si>
  <si>
    <t>Peso</t>
  </si>
  <si>
    <t>Baja, vendida- Emergencia invernal</t>
  </si>
  <si>
    <t>Clara</t>
  </si>
  <si>
    <t>Cebú PATURRA</t>
  </si>
  <si>
    <t>Se traslada a 3C el 22-01-26</t>
  </si>
  <si>
    <t>Roy "Punto Blanco"</t>
  </si>
  <si>
    <t>Se traslada a 3C el 22-01-30</t>
  </si>
  <si>
    <t>Victor de las 3 cumbres</t>
  </si>
  <si>
    <t>9 meses</t>
  </si>
  <si>
    <t xml:space="preserve">F2 </t>
  </si>
  <si>
    <t>Se traslada a 3C el 22-01-31</t>
  </si>
  <si>
    <t>Lucero Hijo</t>
  </si>
  <si>
    <t>Se traslada a 3C el 22-01-32</t>
  </si>
  <si>
    <t>Hijo de 1697</t>
  </si>
  <si>
    <t>Vendida</t>
  </si>
  <si>
    <t>Lucero</t>
  </si>
  <si>
    <t>5 Años</t>
  </si>
  <si>
    <t>400kg Aprox</t>
  </si>
  <si>
    <t>Destete en Abril</t>
  </si>
  <si>
    <t>Destete en agosto</t>
  </si>
  <si>
    <t>Destete en Mayo</t>
  </si>
  <si>
    <t>Destete en julio</t>
  </si>
  <si>
    <t>Destete en Junio</t>
  </si>
  <si>
    <t>Baja -</t>
  </si>
  <si>
    <t>Guadalupe/MORTINATO</t>
  </si>
  <si>
    <t>Hijo de 818</t>
  </si>
  <si>
    <t>01-01-26 Mortinato</t>
  </si>
  <si>
    <t>Finca</t>
  </si>
  <si>
    <t>Nombre</t>
  </si>
  <si>
    <t>Fecha</t>
  </si>
  <si>
    <t>Medicamento/Procedimiento</t>
  </si>
  <si>
    <t>Responsable</t>
  </si>
  <si>
    <t>Plan</t>
  </si>
  <si>
    <t>Costo (COP)</t>
  </si>
  <si>
    <t>Notas</t>
  </si>
  <si>
    <t>Ricomax 15cc subcutáneo-Vacuna Reproductiv. Eco: útero sin tono folículo grande ovario derecho útero en anestro.</t>
  </si>
  <si>
    <t>Dr. Zuñiga</t>
  </si>
  <si>
    <t>Minerales y preñar</t>
  </si>
  <si>
    <t>Hijo de 504</t>
  </si>
  <si>
    <t>Ricomax 5ml-Vacuna carbon 1era dosis</t>
  </si>
  <si>
    <t>Dosis de refuerzo el 19-02-26</t>
  </si>
  <si>
    <t>1479-0 </t>
  </si>
  <si>
    <t>Ricomax 15cc subcutáneo-Vacuna Reproductiv. Edoantripan 20cc c/l. Eco: útero sin tono folículo grande ovario derecho útero en anestro.</t>
  </si>
  <si>
    <t>Minerales y preñar- Dosis de refuerzo el 19-02-26</t>
  </si>
  <si>
    <t>1751-0</t>
  </si>
  <si>
    <t>Ricomax 15cc subcutáneo-Vacuna Reproductiv. Edoantripan 60cc 3/l. Eco: útero sin tono folículo grande ovario derecho útero en anestro.</t>
  </si>
  <si>
    <t>Minerales y preñar- Dosis de refuerzo el 19-02-27</t>
  </si>
  <si>
    <t>Ricomax 15cc subcutáneo-Vacuna Reproductiv. Imidocar- Eco: útero sin tono útero en anestro. Abcseso en gluteo, impresiona babesia, No ordeñar.</t>
  </si>
  <si>
    <t>Hijo de 1731</t>
  </si>
  <si>
    <t>Ricomax 15cc subcutáneo-Vacuna Reproductiv. Imidocar- Eco: útero sin tono útero en anestro. Abcseso en gluteo, se drenó, impresiona babesia, No ordeñar.</t>
  </si>
  <si>
    <t>Minerales, sal y preñar, Dosis de refuerzo el 19-02-27</t>
  </si>
  <si>
    <t xml:space="preserve">Hijo 1799 </t>
  </si>
  <si>
    <t>Ricomax 5ml-Vacuna carbon 1era dosis, curagan en cuerno.</t>
  </si>
  <si>
    <t>Hijo de 1757</t>
  </si>
  <si>
    <t>Ricomax 15ml</t>
  </si>
  <si>
    <t>Pendiente vacunas</t>
  </si>
  <si>
    <t>Baño con Amitrax, Ricomax 15 cc SC, AZ5 15CC SC</t>
  </si>
  <si>
    <t>Francisco</t>
  </si>
  <si>
    <t>Esquema baño 0-7-14-21</t>
  </si>
  <si>
    <t>hembra</t>
  </si>
  <si>
    <t>Baño con Amitrax, Ricomax 5 cc SC, AZ5 15CC SC</t>
  </si>
  <si>
    <t>Esquema baño 0-7-14-22</t>
  </si>
  <si>
    <t>Baño con Amitrax, AZ5 15CC SC</t>
  </si>
  <si>
    <t>Esquema baño 0-7-14-23</t>
  </si>
  <si>
    <t>Baño con Amitrax</t>
  </si>
  <si>
    <t>Esquema baño 0-7-14-24</t>
  </si>
  <si>
    <t>Esquema baño 0-7-14-25</t>
  </si>
  <si>
    <t>Esquema baño 0-7-14-26</t>
  </si>
  <si>
    <t>Esquema baño 0-7-14-27</t>
  </si>
  <si>
    <t>Esquema baño 0-7-14-28</t>
  </si>
  <si>
    <t>Esquema baño 0-7-14-29</t>
  </si>
  <si>
    <t>Esquema baño 0-7-14-30</t>
  </si>
  <si>
    <t>Esquema baño 0-7-14-31</t>
  </si>
  <si>
    <t>Esquema baño 0-7-14-32</t>
  </si>
  <si>
    <t>Esquema baño 0-7-14-33</t>
  </si>
  <si>
    <t>Esquema baño 0-7-14-34</t>
  </si>
  <si>
    <t>Esquema baño 0-7-14-35</t>
  </si>
  <si>
    <t>Esquema baño 0-7-14-36</t>
  </si>
  <si>
    <t>Esquema baño 0-7-14-37</t>
  </si>
  <si>
    <t>Esquema baño 0-7-14-38</t>
  </si>
  <si>
    <t>Esquema baño 0-7-14-39</t>
  </si>
  <si>
    <t>Esquema baño 0-7-14-40</t>
  </si>
  <si>
    <t>Esquema baño 0-7-14-41</t>
  </si>
  <si>
    <t>Esquema baño 0-7-14-42</t>
  </si>
  <si>
    <t>Esquema baño 0-7-14-43</t>
  </si>
  <si>
    <t>Esquema baño 0-7-14-44</t>
  </si>
  <si>
    <t>Esquema baño 0-7-14-45</t>
  </si>
  <si>
    <t>Esquema baño 0-7-14-46</t>
  </si>
  <si>
    <t>Esquema baño 0-7-14-47</t>
  </si>
  <si>
    <t>17/12/2025- enero y febrero 26</t>
  </si>
  <si>
    <t>Hematura persistente, multiples manejos, persiste sangrado, descartada causa infecciosa, sin afectacion sistemica. Ceftriofur, vetercilin, Flunixilin, estrozoo. ATB intramamario por una teta con mastitis. Kavitex f1, quercetol, gluconato de calcio, pomada antiflojistica vacol, sulfato de magnesio, vitamina K, domosyn, dexametazona.</t>
  </si>
  <si>
    <t>Palida, delgada decaida, baja produccion, se aplica proxy, flumegan, incremento de concentrado.</t>
  </si>
  <si>
    <t>Presenta dolor abdominal marcado, se le aplica atb y analgesico.</t>
  </si>
  <si>
    <t>palida, decaida, muy delgada, se le aplica Dimoxiproc, tiamina IM, IMICAR</t>
  </si>
  <si>
    <t>Regular estaod general, fiebre, se aplica ampisulbactam-quincalf, fluxilin por fiebre</t>
  </si>
  <si>
    <t>Baño con amitrax dos dias seguidos, continuar esquema 0-7-14-21</t>
  </si>
  <si>
    <t>Manuel Gonzalez</t>
  </si>
  <si>
    <t>Baño con amitrax dos dias seguidos, continuar esquema 0-7-14-22</t>
  </si>
  <si>
    <t>Baño con amitrax dos dias seguidos, continuar esquema 0-7-14-23</t>
  </si>
  <si>
    <t>Baño con amitrax dos dias seguidos, continuar esquema 0-7-14-24</t>
  </si>
  <si>
    <t>Baño con amitrax dos dias seguidos, continuar esquema 0-7-14-29, se baña con yodo 5 dias seguidos</t>
  </si>
  <si>
    <t>Baño con amitrax dos dias seguidos, continuar esquema 0-7-14-26</t>
  </si>
  <si>
    <t>Baño con amitrax dos dias seguidos, continuar esquema 0-7-14-27</t>
  </si>
  <si>
    <t>Baño con amitrax dos dias seguidos, continuar esquema 0-7-14-28</t>
  </si>
  <si>
    <t>Baño con amitrax dos dias seguidos, continuar esquema 0-7-14-30</t>
  </si>
  <si>
    <t>Baño con amitrax dos dias seguidos, continuar esquema 0-7-14-31</t>
  </si>
  <si>
    <t>Baño con amitrax dos dias seguidos, continuar esquema 0-7-14-32</t>
  </si>
  <si>
    <t>Baño con amitrax dos dias seguidos, continuar esquema 0-7-14-33</t>
  </si>
  <si>
    <t>Baño con amitrax dos dias seguidos, continuar esquema 0-7-14-34</t>
  </si>
  <si>
    <t>Baño con amitrax dos dias seguidos, continuar esquema 0-7-14-35</t>
  </si>
  <si>
    <t>Baño con amitrax dos dias seguidos, continuar esquema 0-7-14-36</t>
  </si>
  <si>
    <t>Baño con amitrax dos dias seguidos, continuar esquema 0-7-14-37</t>
  </si>
  <si>
    <t>Baño con amitrax dos dias seguidos, continuar esquema 0-7-14-38</t>
  </si>
  <si>
    <t>Baño con amitrax dos dias seguidos, continuar esquema 0-7-14-39</t>
  </si>
  <si>
    <t>Baño con amitrax dos dias seguidos, continuar esquema 0-7-14-40</t>
  </si>
  <si>
    <t>Baño con amitrax dos dias seguidos, continuar esquema 0-7-14-41</t>
  </si>
  <si>
    <t>Baño con amitrax dos dias seguidos, continuar esquema 0-7-14-42</t>
  </si>
  <si>
    <t>Baño con amitrax dos dias seguidos, continuar esquema 0-7-14-43</t>
  </si>
  <si>
    <t>Baño con amitrax dos dias seguidos, continuar esquema 0-7-14-44</t>
  </si>
  <si>
    <t>Pendiente cortar la cola, infeccion por hongos. Mastitis se aplica antimastitico intramamario</t>
  </si>
  <si>
    <t>Eprinomectrina 5cc SC Tabla del cuello</t>
  </si>
  <si>
    <t>Garrapatas post emergencia invernal</t>
  </si>
  <si>
    <t>Ivermectina 2cc SC</t>
  </si>
  <si>
    <t>Periodo</t>
  </si>
  <si>
    <t>Litros</t>
  </si>
  <si>
    <t>Valor/Litro (COP)</t>
  </si>
  <si>
    <t>Total (COP)</t>
  </si>
  <si>
    <t>05-01-26 al 11-01-26</t>
  </si>
  <si>
    <t>12-01-26 al 18-01-26</t>
  </si>
  <si>
    <t>19-01-26 al 25-01-26</t>
  </si>
  <si>
    <t>26-01-26 al 01-02-26</t>
  </si>
  <si>
    <t>02-02-26 al 08-02-26</t>
  </si>
  <si>
    <t>Valor Transporte (COP)</t>
  </si>
  <si>
    <t>Cantidad</t>
  </si>
  <si>
    <t>09-02-26 al 15-02-26</t>
  </si>
  <si>
    <t>Cliente</t>
  </si>
  <si>
    <t>Libras</t>
  </si>
  <si>
    <t>Precio (COP)</t>
  </si>
  <si>
    <t>Fondo</t>
  </si>
  <si>
    <t>Nicolas Casab</t>
  </si>
  <si>
    <t>Nequi</t>
  </si>
  <si>
    <t>Tienda Vereda Malagana</t>
  </si>
  <si>
    <t xml:space="preserve">Diana </t>
  </si>
  <si>
    <t xml:space="preserve">Irma </t>
  </si>
  <si>
    <t>Viviana Clinica</t>
  </si>
  <si>
    <t>Irma</t>
  </si>
  <si>
    <t>Clinica</t>
  </si>
  <si>
    <t>Noelia</t>
  </si>
  <si>
    <t>Lobo</t>
  </si>
  <si>
    <t>Concepto</t>
  </si>
  <si>
    <t>Valor Mensual (COP)</t>
  </si>
  <si>
    <t>Nomina Colaboradores</t>
  </si>
  <si>
    <t>Seg Social</t>
  </si>
  <si>
    <t>Aseo OPS</t>
  </si>
  <si>
    <t>Nomina Contador</t>
  </si>
  <si>
    <t>Revisor Fiscal</t>
  </si>
  <si>
    <t>Servicios Publicos</t>
  </si>
  <si>
    <t>TV-Internet</t>
  </si>
  <si>
    <t>Veterinario</t>
  </si>
  <si>
    <t>Medicamentos e insumos animales/mes</t>
  </si>
  <si>
    <t xml:space="preserve">Alimentos e insumos de aseo/EPP </t>
  </si>
  <si>
    <t>Herbicidas/plagicidas/suelo</t>
  </si>
  <si>
    <t>Insumos Queso</t>
  </si>
  <si>
    <t>Poliza RC Guadalupe</t>
  </si>
  <si>
    <t>Poliza Ganadera</t>
  </si>
  <si>
    <t>Suplementación Bovinos</t>
  </si>
  <si>
    <t>(Queso) Compra leche</t>
  </si>
  <si>
    <t>Sale de la produccion del queso</t>
  </si>
  <si>
    <t>(Queso) Mensajero busca leche</t>
  </si>
  <si>
    <t>(Queso) Transporte queso Nicolás</t>
  </si>
  <si>
    <t>Indicador</t>
  </si>
  <si>
    <t>Valor (COP)</t>
  </si>
  <si>
    <t>Total compra leche</t>
  </si>
  <si>
    <t>Total transporte leche</t>
  </si>
  <si>
    <t>Total ventas queso</t>
  </si>
  <si>
    <t>Total medicamentos</t>
  </si>
  <si>
    <t>Litros Mañana</t>
  </si>
  <si>
    <t>Litros Tarde</t>
  </si>
  <si>
    <t>Total Litros</t>
  </si>
  <si>
    <t>Valor</t>
  </si>
  <si>
    <t>Precio litro (ingrese)</t>
  </si>
  <si>
    <t>Litros producidos</t>
  </si>
  <si>
    <t>Ingreso por leche</t>
  </si>
  <si>
    <t>Gastos fijos</t>
  </si>
  <si>
    <t>Resultado operativo</t>
  </si>
  <si>
    <t>Fecha Último Parto</t>
  </si>
  <si>
    <t>Fecha Último Celo</t>
  </si>
  <si>
    <t>Fecha Inseminación</t>
  </si>
  <si>
    <t>Diagnóstico Preñez (SI/NO)</t>
  </si>
  <si>
    <t>Fecha Probable Parto</t>
  </si>
  <si>
    <t>Días Abiertos</t>
  </si>
  <si>
    <t>Alerta</t>
  </si>
  <si>
    <t>Total Vacas en Control</t>
  </si>
  <si>
    <t>Vacas Preñadas</t>
  </si>
  <si>
    <t>Promedio Días Abiertos</t>
  </si>
  <si>
    <t>Vacas con Alerta</t>
  </si>
  <si>
    <t>Litros Mes</t>
  </si>
  <si>
    <t>Ingreso Mes (COP)</t>
  </si>
  <si>
    <t>Ventas Queso</t>
  </si>
  <si>
    <t>Compra Leche</t>
  </si>
  <si>
    <t>Transporte Leche</t>
  </si>
  <si>
    <t>Medicamentos</t>
  </si>
  <si>
    <t>Gastos Fijos</t>
  </si>
  <si>
    <t>UTILIDAD NETA</t>
  </si>
  <si>
    <t>Utilidad anual proyectada</t>
  </si>
  <si>
    <t>Litros anuales proyectados</t>
  </si>
  <si>
    <t>ALERTAS DE LA FINCA</t>
  </si>
  <si>
    <t>Vacas con problemas reproductivos</t>
  </si>
  <si>
    <t>Registros de baja producción (&lt;4 L)</t>
  </si>
  <si>
    <t>Resultado financiero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</si>
</sst>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b/>
      <sz val="14"/>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cellXfs>
  <cellStyles count="1">
    <cellStyle name="Normal" xfId="0" builtinId="0"/>
  </cellStyles>
  <dxfs count="6">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tabSelected="1" topLeftCell="A43" workbookViewId="0">
      <selection activeCell="C2" sqref="C2:C61"/>
    </sheetView>
  </sheetViews>
  <sheetFormatPr baseColWidth="10" defaultColWidth="9.140625"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v>6</v>
      </c>
      <c r="D2" t="s">
        <v>13</v>
      </c>
      <c r="E2" t="s">
        <v>14</v>
      </c>
      <c r="F2" t="s">
        <v>15</v>
      </c>
      <c r="G2">
        <v>500</v>
      </c>
      <c r="H2" t="s">
        <v>16</v>
      </c>
      <c r="I2" t="s">
        <v>17</v>
      </c>
    </row>
    <row r="3" spans="1:11" x14ac:dyDescent="0.25">
      <c r="A3" t="s">
        <v>11</v>
      </c>
      <c r="B3" t="s">
        <v>18</v>
      </c>
      <c r="C3">
        <v>10</v>
      </c>
      <c r="D3" t="s">
        <v>13</v>
      </c>
      <c r="E3" t="s">
        <v>19</v>
      </c>
      <c r="F3" t="s">
        <v>20</v>
      </c>
      <c r="G3">
        <v>300</v>
      </c>
      <c r="H3" t="s">
        <v>21</v>
      </c>
      <c r="I3" t="s">
        <v>17</v>
      </c>
    </row>
    <row r="4" spans="1:11" x14ac:dyDescent="0.25">
      <c r="A4" t="s">
        <v>11</v>
      </c>
      <c r="B4" t="s">
        <v>22</v>
      </c>
      <c r="C4">
        <v>16</v>
      </c>
      <c r="D4" t="s">
        <v>23</v>
      </c>
      <c r="E4" t="s">
        <v>24</v>
      </c>
      <c r="F4" t="s">
        <v>25</v>
      </c>
      <c r="G4">
        <v>400</v>
      </c>
      <c r="H4" t="s">
        <v>26</v>
      </c>
      <c r="I4" s="2">
        <v>43313</v>
      </c>
      <c r="J4" t="s">
        <v>27</v>
      </c>
    </row>
    <row r="5" spans="1:11" x14ac:dyDescent="0.25">
      <c r="A5" t="s">
        <v>11</v>
      </c>
      <c r="B5" t="s">
        <v>28</v>
      </c>
      <c r="C5">
        <v>403</v>
      </c>
      <c r="D5" t="s">
        <v>23</v>
      </c>
      <c r="E5" t="s">
        <v>29</v>
      </c>
      <c r="F5" t="s">
        <v>25</v>
      </c>
      <c r="G5">
        <v>400</v>
      </c>
      <c r="H5" t="s">
        <v>30</v>
      </c>
    </row>
    <row r="6" spans="1:11" x14ac:dyDescent="0.25">
      <c r="A6" t="s">
        <v>11</v>
      </c>
      <c r="B6" t="s">
        <v>31</v>
      </c>
      <c r="C6">
        <v>11</v>
      </c>
      <c r="D6" t="s">
        <v>32</v>
      </c>
      <c r="E6" t="s">
        <v>33</v>
      </c>
      <c r="F6" t="s">
        <v>34</v>
      </c>
      <c r="G6">
        <v>40</v>
      </c>
      <c r="H6" t="s">
        <v>35</v>
      </c>
      <c r="I6" s="2">
        <v>45915</v>
      </c>
    </row>
    <row r="7" spans="1:11" x14ac:dyDescent="0.25">
      <c r="A7" t="s">
        <v>11</v>
      </c>
      <c r="B7">
        <v>21</v>
      </c>
      <c r="C7">
        <v>21</v>
      </c>
      <c r="D7" t="s">
        <v>13</v>
      </c>
      <c r="E7" t="s">
        <v>36</v>
      </c>
      <c r="F7" t="s">
        <v>25</v>
      </c>
      <c r="G7">
        <v>400</v>
      </c>
      <c r="H7" t="s">
        <v>30</v>
      </c>
      <c r="J7" t="s">
        <v>37</v>
      </c>
    </row>
    <row r="8" spans="1:11" x14ac:dyDescent="0.25">
      <c r="A8" t="s">
        <v>11</v>
      </c>
      <c r="B8" t="s">
        <v>38</v>
      </c>
      <c r="D8" t="s">
        <v>32</v>
      </c>
      <c r="E8" t="s">
        <v>39</v>
      </c>
      <c r="H8" t="s">
        <v>35</v>
      </c>
      <c r="I8" s="2">
        <v>46051</v>
      </c>
      <c r="J8" t="s">
        <v>40</v>
      </c>
    </row>
    <row r="9" spans="1:11" x14ac:dyDescent="0.25">
      <c r="A9" t="s">
        <v>11</v>
      </c>
      <c r="B9" t="s">
        <v>41</v>
      </c>
      <c r="C9">
        <v>47</v>
      </c>
      <c r="D9" t="s">
        <v>13</v>
      </c>
      <c r="E9" t="s">
        <v>42</v>
      </c>
      <c r="F9" t="s">
        <v>25</v>
      </c>
      <c r="G9">
        <v>400</v>
      </c>
      <c r="H9" t="s">
        <v>30</v>
      </c>
      <c r="J9" t="s">
        <v>37</v>
      </c>
    </row>
    <row r="10" spans="1:11" x14ac:dyDescent="0.25">
      <c r="A10" t="s">
        <v>11</v>
      </c>
      <c r="B10" t="s">
        <v>43</v>
      </c>
      <c r="D10" t="s">
        <v>32</v>
      </c>
      <c r="E10" t="s">
        <v>44</v>
      </c>
      <c r="F10" t="s">
        <v>45</v>
      </c>
      <c r="G10">
        <v>35</v>
      </c>
      <c r="H10" t="s">
        <v>35</v>
      </c>
      <c r="I10" s="2">
        <v>45943</v>
      </c>
      <c r="J10" t="s">
        <v>46</v>
      </c>
    </row>
    <row r="11" spans="1:11" x14ac:dyDescent="0.25">
      <c r="A11" t="s">
        <v>11</v>
      </c>
      <c r="B11" t="s">
        <v>47</v>
      </c>
      <c r="D11" t="s">
        <v>32</v>
      </c>
      <c r="E11" t="s">
        <v>48</v>
      </c>
      <c r="F11" t="s">
        <v>49</v>
      </c>
      <c r="G11">
        <v>35</v>
      </c>
      <c r="H11" t="s">
        <v>50</v>
      </c>
      <c r="I11" s="2">
        <v>45977</v>
      </c>
      <c r="J11" t="s">
        <v>51</v>
      </c>
    </row>
    <row r="12" spans="1:11" x14ac:dyDescent="0.25">
      <c r="A12" t="s">
        <v>11</v>
      </c>
      <c r="B12">
        <v>53</v>
      </c>
      <c r="C12">
        <v>53</v>
      </c>
      <c r="D12" t="s">
        <v>13</v>
      </c>
      <c r="E12" t="s">
        <v>42</v>
      </c>
      <c r="F12" t="s">
        <v>25</v>
      </c>
      <c r="G12">
        <v>400</v>
      </c>
      <c r="H12" t="s">
        <v>30</v>
      </c>
    </row>
    <row r="13" spans="1:11" x14ac:dyDescent="0.25">
      <c r="A13" t="s">
        <v>11</v>
      </c>
      <c r="B13" t="s">
        <v>52</v>
      </c>
      <c r="D13" t="s">
        <v>13</v>
      </c>
      <c r="E13" t="s">
        <v>39</v>
      </c>
      <c r="H13" t="s">
        <v>35</v>
      </c>
      <c r="I13" s="2">
        <v>46057</v>
      </c>
      <c r="J13" t="s">
        <v>53</v>
      </c>
    </row>
    <row r="14" spans="1:11" x14ac:dyDescent="0.25">
      <c r="A14" t="s">
        <v>11</v>
      </c>
      <c r="B14" t="s">
        <v>54</v>
      </c>
      <c r="D14" t="s">
        <v>13</v>
      </c>
      <c r="E14" t="s">
        <v>42</v>
      </c>
      <c r="F14" t="s">
        <v>25</v>
      </c>
      <c r="G14">
        <v>400</v>
      </c>
      <c r="H14" t="s">
        <v>30</v>
      </c>
    </row>
    <row r="15" spans="1:11" x14ac:dyDescent="0.25">
      <c r="A15" t="s">
        <v>11</v>
      </c>
      <c r="B15" t="s">
        <v>55</v>
      </c>
      <c r="C15">
        <v>45</v>
      </c>
      <c r="D15" t="s">
        <v>13</v>
      </c>
      <c r="E15" t="s">
        <v>39</v>
      </c>
      <c r="F15" t="s">
        <v>49</v>
      </c>
      <c r="G15">
        <v>35</v>
      </c>
      <c r="H15" t="s">
        <v>35</v>
      </c>
      <c r="I15" s="2">
        <v>46036</v>
      </c>
      <c r="J15" t="s">
        <v>53</v>
      </c>
    </row>
    <row r="16" spans="1:11" x14ac:dyDescent="0.25">
      <c r="A16" t="s">
        <v>11</v>
      </c>
      <c r="B16">
        <v>38</v>
      </c>
      <c r="C16">
        <v>38</v>
      </c>
      <c r="D16" t="s">
        <v>13</v>
      </c>
      <c r="E16" t="s">
        <v>29</v>
      </c>
      <c r="F16" t="s">
        <v>25</v>
      </c>
      <c r="G16">
        <v>400</v>
      </c>
      <c r="H16" t="s">
        <v>30</v>
      </c>
    </row>
    <row r="17" spans="1:10" x14ac:dyDescent="0.25">
      <c r="A17" t="s">
        <v>11</v>
      </c>
      <c r="B17" t="s">
        <v>56</v>
      </c>
      <c r="C17">
        <v>186</v>
      </c>
      <c r="D17" t="s">
        <v>13</v>
      </c>
      <c r="E17" t="s">
        <v>29</v>
      </c>
      <c r="F17" t="s">
        <v>25</v>
      </c>
      <c r="G17">
        <v>400</v>
      </c>
      <c r="H17" t="s">
        <v>30</v>
      </c>
    </row>
    <row r="18" spans="1:10" x14ac:dyDescent="0.25">
      <c r="A18" t="s">
        <v>11</v>
      </c>
      <c r="B18" t="s">
        <v>57</v>
      </c>
      <c r="D18" t="s">
        <v>32</v>
      </c>
      <c r="E18" t="s">
        <v>48</v>
      </c>
      <c r="H18" t="s">
        <v>35</v>
      </c>
      <c r="I18" s="2">
        <v>45969</v>
      </c>
      <c r="J18" t="s">
        <v>53</v>
      </c>
    </row>
    <row r="19" spans="1:10" x14ac:dyDescent="0.25">
      <c r="A19" t="s">
        <v>11</v>
      </c>
      <c r="B19" t="s">
        <v>58</v>
      </c>
      <c r="C19">
        <v>52</v>
      </c>
      <c r="D19" t="s">
        <v>13</v>
      </c>
      <c r="E19" t="s">
        <v>29</v>
      </c>
      <c r="F19" t="s">
        <v>25</v>
      </c>
      <c r="G19">
        <v>400</v>
      </c>
      <c r="H19" t="s">
        <v>30</v>
      </c>
      <c r="J19" t="s">
        <v>59</v>
      </c>
    </row>
    <row r="20" spans="1:10" x14ac:dyDescent="0.25">
      <c r="A20" t="s">
        <v>11</v>
      </c>
      <c r="B20" t="s">
        <v>60</v>
      </c>
      <c r="D20" t="s">
        <v>13</v>
      </c>
      <c r="E20" t="s">
        <v>61</v>
      </c>
      <c r="H20" t="s">
        <v>35</v>
      </c>
      <c r="I20" s="2">
        <v>45998</v>
      </c>
    </row>
    <row r="21" spans="1:10" x14ac:dyDescent="0.25">
      <c r="A21" t="s">
        <v>11</v>
      </c>
      <c r="B21">
        <v>78</v>
      </c>
      <c r="C21">
        <v>78</v>
      </c>
      <c r="D21" t="s">
        <v>13</v>
      </c>
      <c r="E21" t="s">
        <v>29</v>
      </c>
      <c r="F21" t="s">
        <v>25</v>
      </c>
      <c r="G21">
        <v>400</v>
      </c>
      <c r="H21" t="s">
        <v>30</v>
      </c>
    </row>
    <row r="22" spans="1:10" x14ac:dyDescent="0.25">
      <c r="A22" t="s">
        <v>11</v>
      </c>
      <c r="B22" t="s">
        <v>62</v>
      </c>
      <c r="C22">
        <v>1317</v>
      </c>
      <c r="D22" t="s">
        <v>13</v>
      </c>
      <c r="E22" t="s">
        <v>29</v>
      </c>
      <c r="F22" t="s">
        <v>25</v>
      </c>
      <c r="G22">
        <v>400</v>
      </c>
      <c r="H22" t="s">
        <v>30</v>
      </c>
    </row>
    <row r="23" spans="1:10" x14ac:dyDescent="0.25">
      <c r="A23" t="s">
        <v>11</v>
      </c>
      <c r="B23" t="s">
        <v>63</v>
      </c>
      <c r="D23" t="s">
        <v>13</v>
      </c>
      <c r="E23" t="s">
        <v>39</v>
      </c>
      <c r="F23" t="s">
        <v>49</v>
      </c>
      <c r="G23">
        <v>35</v>
      </c>
      <c r="H23" t="s">
        <v>35</v>
      </c>
      <c r="I23" s="2">
        <v>46031</v>
      </c>
      <c r="J23" t="s">
        <v>53</v>
      </c>
    </row>
    <row r="24" spans="1:10" x14ac:dyDescent="0.25">
      <c r="A24" t="s">
        <v>11</v>
      </c>
      <c r="B24">
        <v>1152</v>
      </c>
      <c r="C24">
        <v>1152</v>
      </c>
      <c r="D24" t="s">
        <v>13</v>
      </c>
      <c r="E24" t="s">
        <v>29</v>
      </c>
      <c r="F24" t="s">
        <v>25</v>
      </c>
      <c r="G24">
        <v>400</v>
      </c>
      <c r="H24" t="s">
        <v>30</v>
      </c>
    </row>
    <row r="25" spans="1:10" x14ac:dyDescent="0.25">
      <c r="A25" t="s">
        <v>11</v>
      </c>
      <c r="B25" t="s">
        <v>64</v>
      </c>
      <c r="C25">
        <v>818</v>
      </c>
      <c r="D25" t="s">
        <v>13</v>
      </c>
      <c r="E25" t="s">
        <v>36</v>
      </c>
      <c r="F25" t="s">
        <v>25</v>
      </c>
      <c r="G25">
        <v>400</v>
      </c>
      <c r="H25" t="s">
        <v>30</v>
      </c>
      <c r="I25" s="2">
        <v>45174</v>
      </c>
      <c r="J25" t="s">
        <v>27</v>
      </c>
    </row>
    <row r="26" spans="1:10" x14ac:dyDescent="0.25">
      <c r="A26" t="s">
        <v>65</v>
      </c>
      <c r="B26" t="s">
        <v>66</v>
      </c>
      <c r="C26">
        <v>4</v>
      </c>
      <c r="D26" t="s">
        <v>13</v>
      </c>
      <c r="E26" t="s">
        <v>67</v>
      </c>
      <c r="F26">
        <v>300</v>
      </c>
      <c r="G26">
        <v>300</v>
      </c>
      <c r="H26" t="s">
        <v>68</v>
      </c>
      <c r="I26" t="s">
        <v>17</v>
      </c>
      <c r="J26" t="s">
        <v>69</v>
      </c>
    </row>
    <row r="27" spans="1:10" x14ac:dyDescent="0.25">
      <c r="A27" t="s">
        <v>65</v>
      </c>
      <c r="B27" t="s">
        <v>70</v>
      </c>
      <c r="C27">
        <v>3</v>
      </c>
      <c r="D27" t="s">
        <v>32</v>
      </c>
      <c r="E27" t="s">
        <v>29</v>
      </c>
      <c r="F27" t="s">
        <v>71</v>
      </c>
      <c r="G27">
        <v>250</v>
      </c>
      <c r="H27" t="s">
        <v>72</v>
      </c>
      <c r="I27" t="s">
        <v>17</v>
      </c>
      <c r="J27" t="s">
        <v>73</v>
      </c>
    </row>
    <row r="28" spans="1:10" x14ac:dyDescent="0.25">
      <c r="A28" t="s">
        <v>65</v>
      </c>
      <c r="B28" t="s">
        <v>74</v>
      </c>
      <c r="C28">
        <v>22</v>
      </c>
      <c r="D28" t="s">
        <v>13</v>
      </c>
      <c r="E28" t="s">
        <v>33</v>
      </c>
      <c r="H28" t="s">
        <v>75</v>
      </c>
      <c r="I28" s="2">
        <v>45905</v>
      </c>
      <c r="J28" t="s">
        <v>76</v>
      </c>
    </row>
    <row r="29" spans="1:10" x14ac:dyDescent="0.25">
      <c r="A29" t="s">
        <v>65</v>
      </c>
      <c r="B29" t="s">
        <v>77</v>
      </c>
      <c r="C29">
        <v>14</v>
      </c>
      <c r="D29" t="s">
        <v>13</v>
      </c>
      <c r="E29" t="s">
        <v>78</v>
      </c>
      <c r="F29">
        <v>200</v>
      </c>
      <c r="G29">
        <v>200</v>
      </c>
      <c r="H29" t="s">
        <v>79</v>
      </c>
      <c r="I29" t="s">
        <v>17</v>
      </c>
      <c r="J29" t="s">
        <v>80</v>
      </c>
    </row>
    <row r="30" spans="1:10" x14ac:dyDescent="0.25">
      <c r="A30" t="s">
        <v>65</v>
      </c>
      <c r="B30" t="s">
        <v>81</v>
      </c>
      <c r="C30">
        <v>1</v>
      </c>
      <c r="D30" t="s">
        <v>32</v>
      </c>
      <c r="E30" t="s">
        <v>78</v>
      </c>
      <c r="F30">
        <v>180</v>
      </c>
      <c r="G30">
        <v>180</v>
      </c>
      <c r="H30" t="s">
        <v>82</v>
      </c>
      <c r="I30" s="2">
        <v>45646</v>
      </c>
      <c r="J30" t="s">
        <v>27</v>
      </c>
    </row>
    <row r="31" spans="1:10" x14ac:dyDescent="0.25">
      <c r="A31" t="s">
        <v>65</v>
      </c>
      <c r="B31" t="s">
        <v>83</v>
      </c>
      <c r="C31">
        <v>320</v>
      </c>
      <c r="D31" t="s">
        <v>13</v>
      </c>
      <c r="E31" t="s">
        <v>36</v>
      </c>
      <c r="F31" t="s">
        <v>25</v>
      </c>
      <c r="G31">
        <v>400</v>
      </c>
      <c r="H31" t="s">
        <v>84</v>
      </c>
    </row>
    <row r="32" spans="1:10" x14ac:dyDescent="0.25">
      <c r="A32" t="s">
        <v>65</v>
      </c>
      <c r="B32" t="s">
        <v>85</v>
      </c>
      <c r="C32">
        <v>348</v>
      </c>
      <c r="D32" t="s">
        <v>13</v>
      </c>
      <c r="E32" t="s">
        <v>86</v>
      </c>
      <c r="F32" t="s">
        <v>25</v>
      </c>
      <c r="G32">
        <v>400</v>
      </c>
      <c r="H32" t="s">
        <v>87</v>
      </c>
      <c r="I32" s="2">
        <v>45307</v>
      </c>
      <c r="J32" t="s">
        <v>27</v>
      </c>
    </row>
    <row r="33" spans="1:10" x14ac:dyDescent="0.25">
      <c r="A33" t="s">
        <v>65</v>
      </c>
      <c r="B33" t="s">
        <v>88</v>
      </c>
      <c r="C33">
        <v>330</v>
      </c>
      <c r="D33" t="s">
        <v>13</v>
      </c>
      <c r="E33" t="s">
        <v>36</v>
      </c>
      <c r="F33" t="s">
        <v>25</v>
      </c>
      <c r="G33">
        <v>400</v>
      </c>
      <c r="H33" t="s">
        <v>87</v>
      </c>
      <c r="I33" s="2">
        <v>45270</v>
      </c>
      <c r="J33" t="s">
        <v>27</v>
      </c>
    </row>
    <row r="34" spans="1:10" x14ac:dyDescent="0.25">
      <c r="A34" t="s">
        <v>65</v>
      </c>
      <c r="B34" t="s">
        <v>89</v>
      </c>
      <c r="C34">
        <v>327</v>
      </c>
      <c r="D34" t="s">
        <v>13</v>
      </c>
      <c r="E34" t="s">
        <v>36</v>
      </c>
      <c r="F34" t="s">
        <v>25</v>
      </c>
      <c r="G34">
        <v>400</v>
      </c>
      <c r="H34" t="s">
        <v>87</v>
      </c>
      <c r="I34" s="2">
        <v>45270</v>
      </c>
      <c r="J34" t="s">
        <v>27</v>
      </c>
    </row>
    <row r="35" spans="1:10" x14ac:dyDescent="0.25">
      <c r="A35" t="s">
        <v>65</v>
      </c>
      <c r="B35" t="s">
        <v>90</v>
      </c>
      <c r="C35">
        <v>347</v>
      </c>
      <c r="D35" t="s">
        <v>13</v>
      </c>
      <c r="E35" t="s">
        <v>36</v>
      </c>
      <c r="F35" t="s">
        <v>25</v>
      </c>
      <c r="G35">
        <v>400</v>
      </c>
      <c r="H35" t="s">
        <v>87</v>
      </c>
      <c r="I35" s="2">
        <v>45304</v>
      </c>
      <c r="J35" t="s">
        <v>27</v>
      </c>
    </row>
    <row r="36" spans="1:10" x14ac:dyDescent="0.25">
      <c r="A36" t="s">
        <v>65</v>
      </c>
      <c r="B36" t="s">
        <v>91</v>
      </c>
      <c r="C36">
        <v>328</v>
      </c>
      <c r="D36" t="s">
        <v>13</v>
      </c>
      <c r="E36" t="s">
        <v>36</v>
      </c>
      <c r="F36" t="s">
        <v>25</v>
      </c>
      <c r="G36">
        <v>400</v>
      </c>
      <c r="H36" t="s">
        <v>87</v>
      </c>
      <c r="I36" s="2">
        <v>45270</v>
      </c>
      <c r="J36" t="s">
        <v>27</v>
      </c>
    </row>
    <row r="37" spans="1:10" x14ac:dyDescent="0.25">
      <c r="A37" t="s">
        <v>65</v>
      </c>
      <c r="B37" t="s">
        <v>92</v>
      </c>
      <c r="C37">
        <v>350</v>
      </c>
      <c r="D37" t="s">
        <v>13</v>
      </c>
      <c r="E37" t="s">
        <v>36</v>
      </c>
      <c r="F37" t="s">
        <v>25</v>
      </c>
      <c r="G37">
        <v>400</v>
      </c>
      <c r="H37" t="s">
        <v>87</v>
      </c>
      <c r="I37" s="2">
        <v>45309</v>
      </c>
      <c r="J37" t="s">
        <v>27</v>
      </c>
    </row>
    <row r="38" spans="1:10" x14ac:dyDescent="0.25">
      <c r="A38" t="s">
        <v>65</v>
      </c>
      <c r="B38" t="s">
        <v>93</v>
      </c>
      <c r="C38">
        <v>345</v>
      </c>
      <c r="D38" t="s">
        <v>13</v>
      </c>
      <c r="E38" t="s">
        <v>36</v>
      </c>
      <c r="F38" t="s">
        <v>25</v>
      </c>
      <c r="G38">
        <v>400</v>
      </c>
      <c r="H38" t="s">
        <v>87</v>
      </c>
      <c r="I38" s="2">
        <v>45304</v>
      </c>
      <c r="J38" t="s">
        <v>27</v>
      </c>
    </row>
    <row r="39" spans="1:10" x14ac:dyDescent="0.25">
      <c r="A39" t="s">
        <v>65</v>
      </c>
      <c r="B39" t="s">
        <v>94</v>
      </c>
      <c r="C39">
        <v>18</v>
      </c>
      <c r="D39" t="s">
        <v>13</v>
      </c>
      <c r="E39" t="s">
        <v>78</v>
      </c>
      <c r="F39" t="s">
        <v>95</v>
      </c>
      <c r="G39">
        <v>150</v>
      </c>
      <c r="H39" t="s">
        <v>82</v>
      </c>
      <c r="I39" s="2">
        <v>45685</v>
      </c>
      <c r="J39" t="s">
        <v>27</v>
      </c>
    </row>
    <row r="40" spans="1:10" x14ac:dyDescent="0.25">
      <c r="A40" t="s">
        <v>65</v>
      </c>
      <c r="B40">
        <v>1751</v>
      </c>
      <c r="C40">
        <v>1751</v>
      </c>
      <c r="D40" t="s">
        <v>13</v>
      </c>
      <c r="E40" t="s">
        <v>96</v>
      </c>
      <c r="F40" t="s">
        <v>97</v>
      </c>
      <c r="G40">
        <v>580</v>
      </c>
      <c r="H40" t="s">
        <v>98</v>
      </c>
      <c r="I40" s="2">
        <v>44166</v>
      </c>
      <c r="J40" t="s">
        <v>27</v>
      </c>
    </row>
    <row r="41" spans="1:10" x14ac:dyDescent="0.25">
      <c r="A41" t="s">
        <v>65</v>
      </c>
      <c r="B41" t="s">
        <v>99</v>
      </c>
      <c r="C41">
        <v>42</v>
      </c>
      <c r="D41" t="s">
        <v>13</v>
      </c>
      <c r="E41" t="s">
        <v>100</v>
      </c>
      <c r="H41" t="s">
        <v>98</v>
      </c>
      <c r="I41" s="2">
        <v>45916</v>
      </c>
    </row>
    <row r="42" spans="1:10" x14ac:dyDescent="0.25">
      <c r="A42" t="s">
        <v>65</v>
      </c>
      <c r="B42" t="s">
        <v>101</v>
      </c>
      <c r="C42">
        <v>1557</v>
      </c>
      <c r="D42" t="s">
        <v>13</v>
      </c>
      <c r="E42" t="s">
        <v>96</v>
      </c>
      <c r="F42" t="s">
        <v>97</v>
      </c>
      <c r="G42">
        <v>580</v>
      </c>
      <c r="H42" t="s">
        <v>98</v>
      </c>
      <c r="I42" s="2">
        <v>44166</v>
      </c>
      <c r="J42" t="s">
        <v>27</v>
      </c>
    </row>
    <row r="43" spans="1:10" x14ac:dyDescent="0.25">
      <c r="A43" t="s">
        <v>65</v>
      </c>
      <c r="B43" t="s">
        <v>102</v>
      </c>
      <c r="C43">
        <v>29</v>
      </c>
      <c r="D43" t="s">
        <v>32</v>
      </c>
      <c r="E43" t="s">
        <v>61</v>
      </c>
      <c r="H43" t="s">
        <v>98</v>
      </c>
      <c r="I43" s="2">
        <v>45998</v>
      </c>
    </row>
    <row r="44" spans="1:10" x14ac:dyDescent="0.25">
      <c r="A44" t="s">
        <v>65</v>
      </c>
      <c r="B44" t="s">
        <v>103</v>
      </c>
      <c r="C44">
        <v>1731</v>
      </c>
      <c r="D44" t="s">
        <v>13</v>
      </c>
      <c r="E44" t="s">
        <v>96</v>
      </c>
      <c r="F44" t="s">
        <v>97</v>
      </c>
      <c r="G44">
        <v>580</v>
      </c>
      <c r="H44" t="s">
        <v>98</v>
      </c>
    </row>
    <row r="45" spans="1:10" x14ac:dyDescent="0.25">
      <c r="A45" t="s">
        <v>65</v>
      </c>
      <c r="B45" t="s">
        <v>104</v>
      </c>
      <c r="C45">
        <v>31</v>
      </c>
      <c r="D45" t="s">
        <v>32</v>
      </c>
      <c r="E45" t="s">
        <v>44</v>
      </c>
      <c r="H45" t="s">
        <v>98</v>
      </c>
      <c r="I45" s="2">
        <v>45953</v>
      </c>
    </row>
    <row r="46" spans="1:10" x14ac:dyDescent="0.25">
      <c r="A46" t="s">
        <v>65</v>
      </c>
      <c r="B46" t="s">
        <v>105</v>
      </c>
      <c r="C46">
        <v>1697</v>
      </c>
      <c r="D46" t="s">
        <v>13</v>
      </c>
      <c r="E46" t="s">
        <v>96</v>
      </c>
      <c r="F46" t="s">
        <v>97</v>
      </c>
      <c r="G46">
        <v>580</v>
      </c>
      <c r="H46" t="s">
        <v>98</v>
      </c>
    </row>
    <row r="47" spans="1:10" x14ac:dyDescent="0.25">
      <c r="A47" t="s">
        <v>65</v>
      </c>
      <c r="B47" t="s">
        <v>106</v>
      </c>
      <c r="C47">
        <v>33</v>
      </c>
      <c r="D47" t="s">
        <v>13</v>
      </c>
      <c r="E47" t="s">
        <v>33</v>
      </c>
      <c r="F47" t="s">
        <v>107</v>
      </c>
      <c r="G47">
        <v>45</v>
      </c>
      <c r="H47" t="s">
        <v>98</v>
      </c>
      <c r="I47" s="2">
        <v>45939</v>
      </c>
    </row>
    <row r="48" spans="1:10" x14ac:dyDescent="0.25">
      <c r="A48" t="s">
        <v>65</v>
      </c>
      <c r="B48" t="s">
        <v>108</v>
      </c>
      <c r="C48">
        <v>1799</v>
      </c>
      <c r="D48" t="s">
        <v>13</v>
      </c>
      <c r="E48" t="s">
        <v>96</v>
      </c>
      <c r="F48" t="s">
        <v>97</v>
      </c>
      <c r="G48">
        <v>580</v>
      </c>
      <c r="H48" t="s">
        <v>98</v>
      </c>
      <c r="I48" s="2">
        <v>44169</v>
      </c>
    </row>
    <row r="49" spans="1:10" x14ac:dyDescent="0.25">
      <c r="A49" t="s">
        <v>65</v>
      </c>
      <c r="B49" t="s">
        <v>109</v>
      </c>
      <c r="C49">
        <v>35</v>
      </c>
      <c r="D49" t="s">
        <v>32</v>
      </c>
      <c r="E49" t="s">
        <v>48</v>
      </c>
      <c r="H49" t="s">
        <v>98</v>
      </c>
      <c r="I49" s="2">
        <v>46003</v>
      </c>
    </row>
    <row r="50" spans="1:10" x14ac:dyDescent="0.25">
      <c r="A50" t="s">
        <v>65</v>
      </c>
      <c r="B50" t="s">
        <v>110</v>
      </c>
      <c r="C50">
        <v>504</v>
      </c>
      <c r="D50" t="s">
        <v>13</v>
      </c>
      <c r="E50" t="s">
        <v>111</v>
      </c>
      <c r="F50" t="s">
        <v>112</v>
      </c>
      <c r="G50">
        <v>600</v>
      </c>
      <c r="H50" t="s">
        <v>98</v>
      </c>
      <c r="I50" s="2">
        <v>43881</v>
      </c>
      <c r="J50" t="s">
        <v>113</v>
      </c>
    </row>
    <row r="51" spans="1:10" x14ac:dyDescent="0.25">
      <c r="A51" t="s">
        <v>65</v>
      </c>
      <c r="B51" t="s">
        <v>114</v>
      </c>
      <c r="C51">
        <v>44</v>
      </c>
      <c r="D51" t="s">
        <v>13</v>
      </c>
      <c r="E51" t="s">
        <v>44</v>
      </c>
      <c r="H51" t="s">
        <v>98</v>
      </c>
      <c r="I51" s="2">
        <v>45983</v>
      </c>
    </row>
    <row r="52" spans="1:10" x14ac:dyDescent="0.25">
      <c r="A52" t="s">
        <v>65</v>
      </c>
      <c r="B52" t="s">
        <v>115</v>
      </c>
      <c r="C52">
        <v>1479</v>
      </c>
      <c r="D52" t="s">
        <v>13</v>
      </c>
      <c r="E52" t="s">
        <v>96</v>
      </c>
      <c r="F52" t="s">
        <v>97</v>
      </c>
      <c r="G52">
        <v>580</v>
      </c>
      <c r="H52" t="s">
        <v>98</v>
      </c>
      <c r="I52" s="2">
        <v>44127</v>
      </c>
    </row>
    <row r="53" spans="1:10" x14ac:dyDescent="0.25">
      <c r="A53" t="s">
        <v>65</v>
      </c>
      <c r="B53" t="s">
        <v>116</v>
      </c>
      <c r="C53">
        <v>46</v>
      </c>
      <c r="D53" t="s">
        <v>13</v>
      </c>
      <c r="H53" t="s">
        <v>98</v>
      </c>
    </row>
    <row r="54" spans="1:10" x14ac:dyDescent="0.25">
      <c r="A54" t="s">
        <v>65</v>
      </c>
      <c r="B54" t="s">
        <v>117</v>
      </c>
      <c r="C54" t="s">
        <v>117</v>
      </c>
      <c r="D54" t="s">
        <v>13</v>
      </c>
      <c r="E54" t="s">
        <v>111</v>
      </c>
      <c r="F54" t="s">
        <v>97</v>
      </c>
      <c r="G54">
        <v>580</v>
      </c>
      <c r="H54" t="s">
        <v>98</v>
      </c>
      <c r="I54" s="2">
        <v>43829</v>
      </c>
      <c r="J54" t="s">
        <v>113</v>
      </c>
    </row>
    <row r="55" spans="1:10" x14ac:dyDescent="0.25">
      <c r="A55" t="s">
        <v>65</v>
      </c>
      <c r="B55">
        <v>1726</v>
      </c>
      <c r="C55">
        <v>1726</v>
      </c>
      <c r="D55" t="s">
        <v>13</v>
      </c>
      <c r="F55" t="s">
        <v>97</v>
      </c>
      <c r="G55">
        <v>580</v>
      </c>
      <c r="H55" t="s">
        <v>98</v>
      </c>
    </row>
    <row r="56" spans="1:10" x14ac:dyDescent="0.25">
      <c r="A56" t="s">
        <v>65</v>
      </c>
      <c r="B56" t="s">
        <v>118</v>
      </c>
      <c r="C56">
        <v>1810</v>
      </c>
      <c r="D56" t="s">
        <v>13</v>
      </c>
      <c r="E56" t="s">
        <v>96</v>
      </c>
      <c r="F56" t="s">
        <v>97</v>
      </c>
      <c r="G56">
        <v>580</v>
      </c>
      <c r="H56" t="s">
        <v>98</v>
      </c>
      <c r="I56" s="2">
        <v>44175</v>
      </c>
    </row>
    <row r="57" spans="1:10" x14ac:dyDescent="0.25">
      <c r="A57" t="s">
        <v>65</v>
      </c>
      <c r="B57">
        <v>127</v>
      </c>
      <c r="C57">
        <v>127</v>
      </c>
      <c r="D57" t="s">
        <v>13</v>
      </c>
      <c r="E57" t="s">
        <v>29</v>
      </c>
      <c r="F57" t="s">
        <v>25</v>
      </c>
      <c r="G57">
        <v>400</v>
      </c>
      <c r="H57" t="s">
        <v>30</v>
      </c>
      <c r="J57" t="s">
        <v>119</v>
      </c>
    </row>
    <row r="58" spans="1:10" x14ac:dyDescent="0.25">
      <c r="A58" t="s">
        <v>65</v>
      </c>
      <c r="B58">
        <v>49</v>
      </c>
      <c r="C58">
        <v>49</v>
      </c>
      <c r="D58" t="s">
        <v>13</v>
      </c>
      <c r="E58" t="s">
        <v>29</v>
      </c>
      <c r="F58" t="s">
        <v>25</v>
      </c>
      <c r="G58">
        <v>400</v>
      </c>
      <c r="H58" t="s">
        <v>30</v>
      </c>
      <c r="J58" t="s">
        <v>119</v>
      </c>
    </row>
    <row r="59" spans="1:10" x14ac:dyDescent="0.25">
      <c r="A59" t="s">
        <v>65</v>
      </c>
      <c r="B59">
        <v>57</v>
      </c>
      <c r="C59">
        <v>57</v>
      </c>
      <c r="D59" t="s">
        <v>13</v>
      </c>
      <c r="E59" t="s">
        <v>29</v>
      </c>
      <c r="F59" t="s">
        <v>25</v>
      </c>
      <c r="G59">
        <v>400</v>
      </c>
      <c r="H59" t="s">
        <v>30</v>
      </c>
      <c r="J59" t="s">
        <v>119</v>
      </c>
    </row>
    <row r="60" spans="1:10" x14ac:dyDescent="0.25">
      <c r="A60" t="s">
        <v>65</v>
      </c>
      <c r="B60" t="s">
        <v>120</v>
      </c>
      <c r="C60">
        <v>294</v>
      </c>
      <c r="D60" t="s">
        <v>13</v>
      </c>
      <c r="E60" t="s">
        <v>36</v>
      </c>
      <c r="F60" t="s">
        <v>25</v>
      </c>
      <c r="G60">
        <v>400</v>
      </c>
      <c r="H60" t="s">
        <v>87</v>
      </c>
      <c r="I60" s="2">
        <v>45125</v>
      </c>
      <c r="J60" t="s">
        <v>119</v>
      </c>
    </row>
    <row r="61" spans="1:10" x14ac:dyDescent="0.25">
      <c r="A61" t="s">
        <v>65</v>
      </c>
      <c r="B61" t="s">
        <v>121</v>
      </c>
      <c r="C61">
        <v>310</v>
      </c>
      <c r="D61" t="s">
        <v>13</v>
      </c>
      <c r="E61" t="s">
        <v>36</v>
      </c>
      <c r="F61" t="s">
        <v>25</v>
      </c>
      <c r="G61">
        <v>400</v>
      </c>
      <c r="H61" t="s">
        <v>87</v>
      </c>
      <c r="I61" s="2">
        <v>45184</v>
      </c>
      <c r="J61" t="s">
        <v>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9"/>
  <sheetViews>
    <sheetView workbookViewId="0"/>
  </sheetViews>
  <sheetFormatPr baseColWidth="10" defaultColWidth="9.140625" defaultRowHeight="15" x14ac:dyDescent="0.25"/>
  <sheetData>
    <row r="1" spans="1:10" x14ac:dyDescent="0.25">
      <c r="A1" s="1" t="s">
        <v>122</v>
      </c>
      <c r="B1" s="1" t="s">
        <v>0</v>
      </c>
      <c r="C1" s="1" t="s">
        <v>1</v>
      </c>
      <c r="D1" s="1" t="s">
        <v>2</v>
      </c>
      <c r="E1" s="1" t="s">
        <v>3</v>
      </c>
      <c r="F1" s="1" t="s">
        <v>123</v>
      </c>
      <c r="G1" s="1" t="s">
        <v>124</v>
      </c>
      <c r="H1" s="1" t="s">
        <v>7</v>
      </c>
      <c r="I1" s="1" t="s">
        <v>8</v>
      </c>
      <c r="J1" s="1" t="s">
        <v>9</v>
      </c>
    </row>
    <row r="2" spans="1:10" x14ac:dyDescent="0.25">
      <c r="A2" t="s">
        <v>125</v>
      </c>
      <c r="B2" t="s">
        <v>65</v>
      </c>
      <c r="C2" t="s">
        <v>126</v>
      </c>
      <c r="D2">
        <v>2</v>
      </c>
      <c r="E2" t="s">
        <v>13</v>
      </c>
      <c r="F2" t="s">
        <v>67</v>
      </c>
      <c r="G2">
        <v>300</v>
      </c>
      <c r="H2" t="s">
        <v>127</v>
      </c>
      <c r="I2" t="s">
        <v>17</v>
      </c>
      <c r="J2" t="s">
        <v>128</v>
      </c>
    </row>
    <row r="3" spans="1:10" x14ac:dyDescent="0.25">
      <c r="B3" t="s">
        <v>65</v>
      </c>
      <c r="C3" t="s">
        <v>66</v>
      </c>
      <c r="D3">
        <v>4</v>
      </c>
      <c r="E3" t="s">
        <v>13</v>
      </c>
      <c r="F3" t="s">
        <v>67</v>
      </c>
      <c r="G3">
        <v>300</v>
      </c>
      <c r="H3" t="s">
        <v>68</v>
      </c>
      <c r="I3" t="s">
        <v>17</v>
      </c>
      <c r="J3" t="s">
        <v>69</v>
      </c>
    </row>
    <row r="4" spans="1:10" x14ac:dyDescent="0.25">
      <c r="B4" t="s">
        <v>65</v>
      </c>
      <c r="C4" t="s">
        <v>70</v>
      </c>
      <c r="D4">
        <v>3</v>
      </c>
      <c r="E4" t="s">
        <v>32</v>
      </c>
      <c r="F4" t="s">
        <v>29</v>
      </c>
      <c r="G4" t="s">
        <v>71</v>
      </c>
      <c r="H4" t="s">
        <v>72</v>
      </c>
      <c r="I4" t="s">
        <v>17</v>
      </c>
      <c r="J4" t="s">
        <v>73</v>
      </c>
    </row>
    <row r="5" spans="1:10" x14ac:dyDescent="0.25">
      <c r="B5" t="s">
        <v>65</v>
      </c>
      <c r="C5" t="s">
        <v>74</v>
      </c>
      <c r="D5">
        <v>22</v>
      </c>
      <c r="E5" t="s">
        <v>13</v>
      </c>
      <c r="F5" t="s">
        <v>33</v>
      </c>
      <c r="H5" t="s">
        <v>75</v>
      </c>
      <c r="I5" s="2">
        <v>45905</v>
      </c>
      <c r="J5" t="s">
        <v>76</v>
      </c>
    </row>
    <row r="6" spans="1:10" x14ac:dyDescent="0.25">
      <c r="A6" t="s">
        <v>125</v>
      </c>
      <c r="B6" t="s">
        <v>65</v>
      </c>
      <c r="C6" t="s">
        <v>129</v>
      </c>
      <c r="D6">
        <v>5</v>
      </c>
      <c r="E6" t="s">
        <v>32</v>
      </c>
      <c r="F6" t="s">
        <v>100</v>
      </c>
      <c r="H6" t="s">
        <v>72</v>
      </c>
      <c r="I6" s="2">
        <v>45886</v>
      </c>
      <c r="J6" t="s">
        <v>130</v>
      </c>
    </row>
    <row r="7" spans="1:10" x14ac:dyDescent="0.25">
      <c r="A7" t="s">
        <v>125</v>
      </c>
      <c r="B7" t="s">
        <v>65</v>
      </c>
      <c r="C7" t="s">
        <v>131</v>
      </c>
      <c r="D7">
        <v>7</v>
      </c>
      <c r="E7" t="s">
        <v>32</v>
      </c>
      <c r="F7" t="s">
        <v>132</v>
      </c>
      <c r="H7" t="s">
        <v>133</v>
      </c>
      <c r="I7" s="2">
        <v>45773</v>
      </c>
      <c r="J7" t="s">
        <v>134</v>
      </c>
    </row>
    <row r="8" spans="1:10" x14ac:dyDescent="0.25">
      <c r="A8" t="s">
        <v>125</v>
      </c>
      <c r="B8" t="s">
        <v>65</v>
      </c>
      <c r="C8" t="s">
        <v>135</v>
      </c>
      <c r="D8">
        <v>9</v>
      </c>
      <c r="E8" t="s">
        <v>32</v>
      </c>
      <c r="F8" t="s">
        <v>78</v>
      </c>
      <c r="H8" t="s">
        <v>75</v>
      </c>
      <c r="I8" t="s">
        <v>17</v>
      </c>
      <c r="J8" t="s">
        <v>136</v>
      </c>
    </row>
    <row r="9" spans="1:10" x14ac:dyDescent="0.25">
      <c r="B9" t="s">
        <v>65</v>
      </c>
      <c r="C9" t="s">
        <v>77</v>
      </c>
      <c r="D9">
        <v>14</v>
      </c>
      <c r="E9" t="s">
        <v>13</v>
      </c>
      <c r="F9" t="s">
        <v>78</v>
      </c>
      <c r="G9">
        <v>200</v>
      </c>
      <c r="H9" t="s">
        <v>79</v>
      </c>
      <c r="I9" t="s">
        <v>17</v>
      </c>
      <c r="J9" t="s">
        <v>80</v>
      </c>
    </row>
    <row r="10" spans="1:10" x14ac:dyDescent="0.25">
      <c r="B10" t="s">
        <v>65</v>
      </c>
      <c r="C10" t="s">
        <v>81</v>
      </c>
      <c r="D10">
        <v>1</v>
      </c>
      <c r="E10" t="s">
        <v>32</v>
      </c>
      <c r="F10" t="s">
        <v>78</v>
      </c>
      <c r="G10">
        <v>180</v>
      </c>
      <c r="H10" t="s">
        <v>82</v>
      </c>
      <c r="I10" s="2">
        <v>45646</v>
      </c>
      <c r="J10" t="s">
        <v>27</v>
      </c>
    </row>
    <row r="11" spans="1:10" x14ac:dyDescent="0.25">
      <c r="B11" t="s">
        <v>65</v>
      </c>
      <c r="C11" t="s">
        <v>83</v>
      </c>
      <c r="D11">
        <v>320</v>
      </c>
      <c r="E11" t="s">
        <v>13</v>
      </c>
      <c r="F11" t="s">
        <v>36</v>
      </c>
      <c r="G11" t="s">
        <v>25</v>
      </c>
      <c r="H11" t="s">
        <v>84</v>
      </c>
    </row>
    <row r="12" spans="1:10" x14ac:dyDescent="0.25">
      <c r="B12" t="s">
        <v>65</v>
      </c>
      <c r="C12" t="s">
        <v>85</v>
      </c>
      <c r="D12">
        <v>348</v>
      </c>
      <c r="E12" t="s">
        <v>13</v>
      </c>
      <c r="F12" t="s">
        <v>86</v>
      </c>
      <c r="G12" t="s">
        <v>25</v>
      </c>
      <c r="H12" t="s">
        <v>87</v>
      </c>
      <c r="I12" s="2">
        <v>45307</v>
      </c>
      <c r="J12" t="s">
        <v>27</v>
      </c>
    </row>
    <row r="13" spans="1:10" x14ac:dyDescent="0.25">
      <c r="B13" t="s">
        <v>65</v>
      </c>
      <c r="C13" t="s">
        <v>88</v>
      </c>
      <c r="D13">
        <v>330</v>
      </c>
      <c r="E13" t="s">
        <v>13</v>
      </c>
      <c r="F13" t="s">
        <v>36</v>
      </c>
      <c r="G13" t="s">
        <v>25</v>
      </c>
      <c r="H13" t="s">
        <v>87</v>
      </c>
      <c r="I13" s="2">
        <v>45270</v>
      </c>
      <c r="J13" t="s">
        <v>27</v>
      </c>
    </row>
    <row r="14" spans="1:10" x14ac:dyDescent="0.25">
      <c r="B14" t="s">
        <v>65</v>
      </c>
      <c r="C14" t="s">
        <v>89</v>
      </c>
      <c r="D14">
        <v>327</v>
      </c>
      <c r="E14" t="s">
        <v>13</v>
      </c>
      <c r="F14" t="s">
        <v>36</v>
      </c>
      <c r="G14" t="s">
        <v>25</v>
      </c>
      <c r="H14" t="s">
        <v>87</v>
      </c>
      <c r="I14" s="2">
        <v>45270</v>
      </c>
      <c r="J14" t="s">
        <v>27</v>
      </c>
    </row>
    <row r="15" spans="1:10" x14ac:dyDescent="0.25">
      <c r="B15" t="s">
        <v>65</v>
      </c>
      <c r="C15" t="s">
        <v>90</v>
      </c>
      <c r="D15">
        <v>347</v>
      </c>
      <c r="E15" t="s">
        <v>13</v>
      </c>
      <c r="F15" t="s">
        <v>36</v>
      </c>
      <c r="G15" t="s">
        <v>25</v>
      </c>
      <c r="H15" t="s">
        <v>87</v>
      </c>
      <c r="I15" s="2">
        <v>45304</v>
      </c>
      <c r="J15" t="s">
        <v>27</v>
      </c>
    </row>
    <row r="16" spans="1:10" x14ac:dyDescent="0.25">
      <c r="B16" t="s">
        <v>65</v>
      </c>
      <c r="C16" t="s">
        <v>91</v>
      </c>
      <c r="D16">
        <v>328</v>
      </c>
      <c r="E16" t="s">
        <v>13</v>
      </c>
      <c r="F16" t="s">
        <v>36</v>
      </c>
      <c r="G16" t="s">
        <v>25</v>
      </c>
      <c r="H16" t="s">
        <v>87</v>
      </c>
      <c r="I16" s="2">
        <v>45270</v>
      </c>
      <c r="J16" t="s">
        <v>27</v>
      </c>
    </row>
    <row r="17" spans="2:10" x14ac:dyDescent="0.25">
      <c r="B17" t="s">
        <v>65</v>
      </c>
      <c r="C17" t="s">
        <v>92</v>
      </c>
      <c r="D17">
        <v>350</v>
      </c>
      <c r="E17" t="s">
        <v>13</v>
      </c>
      <c r="F17" t="s">
        <v>36</v>
      </c>
      <c r="G17" t="s">
        <v>25</v>
      </c>
      <c r="H17" t="s">
        <v>87</v>
      </c>
      <c r="I17" s="2">
        <v>45309</v>
      </c>
      <c r="J17" t="s">
        <v>27</v>
      </c>
    </row>
    <row r="18" spans="2:10" x14ac:dyDescent="0.25">
      <c r="B18" t="s">
        <v>65</v>
      </c>
      <c r="C18" t="s">
        <v>93</v>
      </c>
      <c r="D18">
        <v>345</v>
      </c>
      <c r="E18" t="s">
        <v>13</v>
      </c>
      <c r="F18" t="s">
        <v>36</v>
      </c>
      <c r="G18" t="s">
        <v>25</v>
      </c>
      <c r="H18" t="s">
        <v>87</v>
      </c>
      <c r="I18" s="2">
        <v>45304</v>
      </c>
      <c r="J18" t="s">
        <v>27</v>
      </c>
    </row>
    <row r="19" spans="2:10" x14ac:dyDescent="0.25">
      <c r="B19" t="s">
        <v>65</v>
      </c>
      <c r="C19" t="s">
        <v>94</v>
      </c>
      <c r="D19">
        <v>18</v>
      </c>
      <c r="E19" t="s">
        <v>13</v>
      </c>
      <c r="F19" t="s">
        <v>78</v>
      </c>
      <c r="G19" t="s">
        <v>95</v>
      </c>
      <c r="H19" t="s">
        <v>82</v>
      </c>
      <c r="I19" s="2">
        <v>45685</v>
      </c>
      <c r="J19" t="s">
        <v>27</v>
      </c>
    </row>
    <row r="20" spans="2:10" x14ac:dyDescent="0.25">
      <c r="B20" t="s">
        <v>65</v>
      </c>
      <c r="C20">
        <v>1751</v>
      </c>
      <c r="D20">
        <v>1751</v>
      </c>
      <c r="E20" t="s">
        <v>13</v>
      </c>
      <c r="F20" t="s">
        <v>96</v>
      </c>
      <c r="G20" t="s">
        <v>97</v>
      </c>
      <c r="H20" t="s">
        <v>98</v>
      </c>
      <c r="I20" s="2">
        <v>44166</v>
      </c>
      <c r="J20" t="s">
        <v>27</v>
      </c>
    </row>
    <row r="21" spans="2:10" x14ac:dyDescent="0.25">
      <c r="B21" t="s">
        <v>65</v>
      </c>
      <c r="C21" t="s">
        <v>99</v>
      </c>
      <c r="D21">
        <v>42</v>
      </c>
      <c r="E21" t="s">
        <v>13</v>
      </c>
      <c r="F21" t="s">
        <v>100</v>
      </c>
      <c r="H21" t="s">
        <v>98</v>
      </c>
      <c r="I21" s="2">
        <v>45916</v>
      </c>
    </row>
    <row r="22" spans="2:10" x14ac:dyDescent="0.25">
      <c r="B22" t="s">
        <v>65</v>
      </c>
      <c r="C22" t="s">
        <v>101</v>
      </c>
      <c r="D22">
        <v>1557</v>
      </c>
      <c r="E22" t="s">
        <v>13</v>
      </c>
      <c r="F22" t="s">
        <v>96</v>
      </c>
      <c r="G22" t="s">
        <v>97</v>
      </c>
      <c r="H22" t="s">
        <v>98</v>
      </c>
      <c r="I22" s="2">
        <v>44166</v>
      </c>
      <c r="J22" t="s">
        <v>27</v>
      </c>
    </row>
    <row r="23" spans="2:10" x14ac:dyDescent="0.25">
      <c r="B23" t="s">
        <v>65</v>
      </c>
      <c r="C23" t="s">
        <v>102</v>
      </c>
      <c r="D23">
        <v>29</v>
      </c>
      <c r="E23" t="s">
        <v>32</v>
      </c>
      <c r="F23" t="s">
        <v>61</v>
      </c>
      <c r="H23" t="s">
        <v>98</v>
      </c>
      <c r="I23" s="2">
        <v>45998</v>
      </c>
    </row>
    <row r="24" spans="2:10" x14ac:dyDescent="0.25">
      <c r="B24" t="s">
        <v>65</v>
      </c>
      <c r="C24" t="s">
        <v>103</v>
      </c>
      <c r="D24">
        <v>1731</v>
      </c>
      <c r="E24" t="s">
        <v>13</v>
      </c>
      <c r="F24" t="s">
        <v>96</v>
      </c>
      <c r="G24" t="s">
        <v>97</v>
      </c>
      <c r="H24" t="s">
        <v>98</v>
      </c>
    </row>
    <row r="25" spans="2:10" x14ac:dyDescent="0.25">
      <c r="B25" t="s">
        <v>65</v>
      </c>
      <c r="C25" t="s">
        <v>104</v>
      </c>
      <c r="D25">
        <v>31</v>
      </c>
      <c r="E25" t="s">
        <v>32</v>
      </c>
      <c r="F25" t="s">
        <v>44</v>
      </c>
      <c r="H25" t="s">
        <v>98</v>
      </c>
      <c r="I25" s="2">
        <v>45953</v>
      </c>
    </row>
    <row r="26" spans="2:10" x14ac:dyDescent="0.25">
      <c r="B26" t="s">
        <v>65</v>
      </c>
      <c r="C26" t="s">
        <v>105</v>
      </c>
      <c r="D26">
        <v>1697</v>
      </c>
      <c r="E26" t="s">
        <v>13</v>
      </c>
      <c r="F26" t="s">
        <v>96</v>
      </c>
      <c r="G26" t="s">
        <v>97</v>
      </c>
      <c r="H26" t="s">
        <v>98</v>
      </c>
    </row>
    <row r="27" spans="2:10" x14ac:dyDescent="0.25">
      <c r="B27" t="s">
        <v>65</v>
      </c>
      <c r="C27" t="s">
        <v>106</v>
      </c>
      <c r="D27">
        <v>33</v>
      </c>
      <c r="E27" t="s">
        <v>13</v>
      </c>
      <c r="F27" t="s">
        <v>33</v>
      </c>
      <c r="G27" t="s">
        <v>107</v>
      </c>
      <c r="H27" t="s">
        <v>98</v>
      </c>
      <c r="I27" s="2">
        <v>45939</v>
      </c>
    </row>
    <row r="28" spans="2:10" x14ac:dyDescent="0.25">
      <c r="B28" t="s">
        <v>65</v>
      </c>
      <c r="C28" t="s">
        <v>108</v>
      </c>
      <c r="D28">
        <v>1799</v>
      </c>
      <c r="E28" t="s">
        <v>13</v>
      </c>
      <c r="F28" t="s">
        <v>96</v>
      </c>
      <c r="G28" t="s">
        <v>97</v>
      </c>
      <c r="H28" t="s">
        <v>98</v>
      </c>
      <c r="I28" s="2">
        <v>44169</v>
      </c>
    </row>
    <row r="29" spans="2:10" x14ac:dyDescent="0.25">
      <c r="B29" t="s">
        <v>65</v>
      </c>
      <c r="C29" t="s">
        <v>109</v>
      </c>
      <c r="D29">
        <v>35</v>
      </c>
      <c r="E29" t="s">
        <v>32</v>
      </c>
      <c r="F29" t="s">
        <v>48</v>
      </c>
      <c r="H29" t="s">
        <v>98</v>
      </c>
      <c r="I29" s="2">
        <v>46003</v>
      </c>
    </row>
    <row r="30" spans="2:10" x14ac:dyDescent="0.25">
      <c r="B30" t="s">
        <v>65</v>
      </c>
      <c r="C30" t="s">
        <v>110</v>
      </c>
      <c r="D30">
        <v>504</v>
      </c>
      <c r="E30" t="s">
        <v>13</v>
      </c>
      <c r="F30" t="s">
        <v>111</v>
      </c>
      <c r="G30" t="s">
        <v>112</v>
      </c>
      <c r="H30" t="s">
        <v>98</v>
      </c>
      <c r="I30" s="2">
        <v>43881</v>
      </c>
      <c r="J30" t="s">
        <v>113</v>
      </c>
    </row>
    <row r="31" spans="2:10" x14ac:dyDescent="0.25">
      <c r="B31" t="s">
        <v>65</v>
      </c>
      <c r="C31" t="s">
        <v>114</v>
      </c>
      <c r="D31">
        <v>44</v>
      </c>
      <c r="E31" t="s">
        <v>13</v>
      </c>
      <c r="F31" t="s">
        <v>44</v>
      </c>
      <c r="H31" t="s">
        <v>98</v>
      </c>
      <c r="I31" s="2">
        <v>45983</v>
      </c>
    </row>
    <row r="32" spans="2:10" x14ac:dyDescent="0.25">
      <c r="B32" t="s">
        <v>65</v>
      </c>
      <c r="C32" t="s">
        <v>115</v>
      </c>
      <c r="D32">
        <v>1479</v>
      </c>
      <c r="E32" t="s">
        <v>13</v>
      </c>
      <c r="F32" t="s">
        <v>96</v>
      </c>
      <c r="G32" t="s">
        <v>97</v>
      </c>
      <c r="H32" t="s">
        <v>98</v>
      </c>
      <c r="I32" s="2">
        <v>44127</v>
      </c>
    </row>
    <row r="33" spans="1:10" x14ac:dyDescent="0.25">
      <c r="B33" t="s">
        <v>65</v>
      </c>
      <c r="C33" t="s">
        <v>116</v>
      </c>
      <c r="D33">
        <v>46</v>
      </c>
      <c r="E33" t="s">
        <v>13</v>
      </c>
      <c r="H33" t="s">
        <v>98</v>
      </c>
    </row>
    <row r="34" spans="1:10" x14ac:dyDescent="0.25">
      <c r="B34" t="s">
        <v>65</v>
      </c>
      <c r="C34" t="s">
        <v>117</v>
      </c>
      <c r="D34" t="s">
        <v>117</v>
      </c>
      <c r="E34" t="s">
        <v>13</v>
      </c>
      <c r="F34" t="s">
        <v>111</v>
      </c>
      <c r="G34" t="s">
        <v>97</v>
      </c>
      <c r="H34" t="s">
        <v>98</v>
      </c>
      <c r="I34" s="2">
        <v>43829</v>
      </c>
      <c r="J34" t="s">
        <v>113</v>
      </c>
    </row>
    <row r="35" spans="1:10" x14ac:dyDescent="0.25">
      <c r="B35" t="s">
        <v>65</v>
      </c>
      <c r="C35">
        <v>1726</v>
      </c>
      <c r="D35">
        <v>1726</v>
      </c>
      <c r="E35" t="s">
        <v>13</v>
      </c>
      <c r="G35" t="s">
        <v>97</v>
      </c>
      <c r="H35" t="s">
        <v>98</v>
      </c>
    </row>
    <row r="36" spans="1:10" x14ac:dyDescent="0.25">
      <c r="B36" t="s">
        <v>65</v>
      </c>
      <c r="C36" t="s">
        <v>118</v>
      </c>
      <c r="D36">
        <v>1810</v>
      </c>
      <c r="E36" t="s">
        <v>13</v>
      </c>
      <c r="F36" t="s">
        <v>96</v>
      </c>
      <c r="G36" t="s">
        <v>97</v>
      </c>
      <c r="H36" t="s">
        <v>98</v>
      </c>
      <c r="I36" s="2">
        <v>44175</v>
      </c>
    </row>
    <row r="37" spans="1:10" x14ac:dyDescent="0.25">
      <c r="B37" t="s">
        <v>65</v>
      </c>
      <c r="C37" t="s">
        <v>105</v>
      </c>
      <c r="D37">
        <v>1697</v>
      </c>
      <c r="E37" t="s">
        <v>13</v>
      </c>
      <c r="F37" t="s">
        <v>96</v>
      </c>
      <c r="G37" t="s">
        <v>97</v>
      </c>
      <c r="H37" t="s">
        <v>98</v>
      </c>
    </row>
    <row r="38" spans="1:10" x14ac:dyDescent="0.25">
      <c r="B38" t="s">
        <v>65</v>
      </c>
      <c r="C38" t="s">
        <v>137</v>
      </c>
      <c r="D38">
        <v>48</v>
      </c>
      <c r="E38" t="s">
        <v>13</v>
      </c>
      <c r="F38" t="s">
        <v>33</v>
      </c>
      <c r="H38" t="s">
        <v>98</v>
      </c>
      <c r="I38" s="2">
        <v>45939</v>
      </c>
    </row>
    <row r="39" spans="1:10" x14ac:dyDescent="0.25">
      <c r="B39" t="s">
        <v>11</v>
      </c>
      <c r="C39" t="s">
        <v>12</v>
      </c>
      <c r="D39">
        <v>6</v>
      </c>
      <c r="E39" t="s">
        <v>13</v>
      </c>
      <c r="F39" t="s">
        <v>14</v>
      </c>
      <c r="G39" t="s">
        <v>15</v>
      </c>
      <c r="H39" t="s">
        <v>16</v>
      </c>
      <c r="I39" t="s">
        <v>17</v>
      </c>
    </row>
    <row r="40" spans="1:10" x14ac:dyDescent="0.25">
      <c r="A40" t="s">
        <v>138</v>
      </c>
      <c r="B40" t="s">
        <v>11</v>
      </c>
      <c r="C40" t="s">
        <v>139</v>
      </c>
      <c r="D40">
        <v>8</v>
      </c>
      <c r="E40" t="s">
        <v>13</v>
      </c>
      <c r="F40" t="s">
        <v>140</v>
      </c>
      <c r="G40" t="s">
        <v>141</v>
      </c>
      <c r="H40" t="s">
        <v>35</v>
      </c>
      <c r="I40" t="s">
        <v>17</v>
      </c>
    </row>
    <row r="41" spans="1:10" x14ac:dyDescent="0.25">
      <c r="B41" t="s">
        <v>11</v>
      </c>
      <c r="C41" t="s">
        <v>18</v>
      </c>
      <c r="D41">
        <v>10</v>
      </c>
      <c r="E41" t="s">
        <v>13</v>
      </c>
      <c r="F41" t="s">
        <v>19</v>
      </c>
      <c r="G41" t="s">
        <v>20</v>
      </c>
      <c r="H41" t="s">
        <v>21</v>
      </c>
      <c r="I41" t="s">
        <v>17</v>
      </c>
    </row>
    <row r="42" spans="1:10" x14ac:dyDescent="0.25">
      <c r="B42" t="s">
        <v>11</v>
      </c>
      <c r="C42" t="s">
        <v>22</v>
      </c>
      <c r="D42">
        <v>16</v>
      </c>
      <c r="E42" t="s">
        <v>23</v>
      </c>
      <c r="F42" t="s">
        <v>24</v>
      </c>
      <c r="G42" t="s">
        <v>25</v>
      </c>
      <c r="H42" t="s">
        <v>26</v>
      </c>
      <c r="I42" s="2">
        <v>43313</v>
      </c>
      <c r="J42" t="s">
        <v>27</v>
      </c>
    </row>
    <row r="43" spans="1:10" x14ac:dyDescent="0.25">
      <c r="B43" t="s">
        <v>11</v>
      </c>
      <c r="C43" t="s">
        <v>28</v>
      </c>
      <c r="D43">
        <v>403</v>
      </c>
      <c r="E43" t="s">
        <v>23</v>
      </c>
      <c r="F43" t="s">
        <v>29</v>
      </c>
      <c r="G43" t="s">
        <v>25</v>
      </c>
      <c r="H43" t="s">
        <v>30</v>
      </c>
    </row>
    <row r="44" spans="1:10" x14ac:dyDescent="0.25">
      <c r="A44" t="s">
        <v>142</v>
      </c>
      <c r="B44" t="s">
        <v>11</v>
      </c>
      <c r="C44" t="s">
        <v>31</v>
      </c>
      <c r="D44">
        <v>11</v>
      </c>
      <c r="E44" t="s">
        <v>32</v>
      </c>
      <c r="F44" t="s">
        <v>33</v>
      </c>
      <c r="G44" t="s">
        <v>34</v>
      </c>
      <c r="H44" t="s">
        <v>35</v>
      </c>
      <c r="I44" s="2">
        <v>45915</v>
      </c>
    </row>
    <row r="45" spans="1:10" x14ac:dyDescent="0.25">
      <c r="B45" t="s">
        <v>11</v>
      </c>
      <c r="C45">
        <v>21</v>
      </c>
      <c r="D45">
        <v>21</v>
      </c>
      <c r="E45" t="s">
        <v>13</v>
      </c>
      <c r="F45" t="s">
        <v>36</v>
      </c>
      <c r="G45" t="s">
        <v>25</v>
      </c>
      <c r="H45" t="s">
        <v>30</v>
      </c>
    </row>
    <row r="46" spans="1:10" x14ac:dyDescent="0.25">
      <c r="A46" t="s">
        <v>143</v>
      </c>
      <c r="B46" t="s">
        <v>11</v>
      </c>
      <c r="C46" t="s">
        <v>38</v>
      </c>
      <c r="E46" t="s">
        <v>32</v>
      </c>
      <c r="F46" t="s">
        <v>39</v>
      </c>
      <c r="H46" t="s">
        <v>35</v>
      </c>
      <c r="I46" s="2">
        <v>46051</v>
      </c>
    </row>
    <row r="47" spans="1:10" x14ac:dyDescent="0.25">
      <c r="B47" t="s">
        <v>11</v>
      </c>
      <c r="C47" t="s">
        <v>41</v>
      </c>
      <c r="D47">
        <v>47</v>
      </c>
      <c r="E47" t="s">
        <v>13</v>
      </c>
      <c r="F47" t="s">
        <v>42</v>
      </c>
      <c r="G47" t="s">
        <v>25</v>
      </c>
      <c r="H47" t="s">
        <v>30</v>
      </c>
    </row>
    <row r="48" spans="1:10" x14ac:dyDescent="0.25">
      <c r="A48" t="s">
        <v>142</v>
      </c>
      <c r="B48" t="s">
        <v>11</v>
      </c>
      <c r="C48" t="s">
        <v>43</v>
      </c>
      <c r="E48" t="s">
        <v>32</v>
      </c>
      <c r="F48" t="s">
        <v>44</v>
      </c>
      <c r="G48" t="s">
        <v>45</v>
      </c>
      <c r="H48" t="s">
        <v>35</v>
      </c>
      <c r="I48" s="2">
        <v>45943</v>
      </c>
      <c r="J48" t="s">
        <v>46</v>
      </c>
    </row>
    <row r="49" spans="1:10" x14ac:dyDescent="0.25">
      <c r="A49" t="s">
        <v>144</v>
      </c>
      <c r="B49" t="s">
        <v>11</v>
      </c>
      <c r="C49" t="s">
        <v>47</v>
      </c>
      <c r="E49" t="s">
        <v>32</v>
      </c>
      <c r="F49" t="s">
        <v>48</v>
      </c>
      <c r="G49" t="s">
        <v>49</v>
      </c>
      <c r="H49" t="s">
        <v>50</v>
      </c>
      <c r="I49" s="2">
        <v>45977</v>
      </c>
      <c r="J49" t="s">
        <v>51</v>
      </c>
    </row>
    <row r="50" spans="1:10" x14ac:dyDescent="0.25">
      <c r="B50" t="s">
        <v>11</v>
      </c>
      <c r="C50">
        <v>53</v>
      </c>
      <c r="D50">
        <v>53</v>
      </c>
      <c r="E50" t="s">
        <v>13</v>
      </c>
      <c r="F50" t="s">
        <v>42</v>
      </c>
      <c r="G50" t="s">
        <v>25</v>
      </c>
      <c r="H50" t="s">
        <v>30</v>
      </c>
    </row>
    <row r="51" spans="1:10" x14ac:dyDescent="0.25">
      <c r="A51" t="s">
        <v>143</v>
      </c>
      <c r="B51" t="s">
        <v>11</v>
      </c>
      <c r="C51" t="s">
        <v>52</v>
      </c>
      <c r="E51" t="s">
        <v>13</v>
      </c>
      <c r="F51" t="s">
        <v>39</v>
      </c>
      <c r="H51" t="s">
        <v>35</v>
      </c>
      <c r="I51" s="2">
        <v>46057</v>
      </c>
      <c r="J51" t="s">
        <v>53</v>
      </c>
    </row>
    <row r="52" spans="1:10" x14ac:dyDescent="0.25">
      <c r="B52" t="s">
        <v>11</v>
      </c>
      <c r="C52" t="s">
        <v>54</v>
      </c>
      <c r="E52" t="s">
        <v>13</v>
      </c>
      <c r="F52" t="s">
        <v>42</v>
      </c>
      <c r="G52" t="s">
        <v>25</v>
      </c>
      <c r="H52" t="s">
        <v>30</v>
      </c>
    </row>
    <row r="53" spans="1:10" x14ac:dyDescent="0.25">
      <c r="A53" t="s">
        <v>145</v>
      </c>
      <c r="B53" t="s">
        <v>11</v>
      </c>
      <c r="C53" t="s">
        <v>55</v>
      </c>
      <c r="D53">
        <v>45</v>
      </c>
      <c r="E53" t="s">
        <v>13</v>
      </c>
      <c r="F53" t="s">
        <v>39</v>
      </c>
      <c r="G53" t="s">
        <v>49</v>
      </c>
      <c r="H53" t="s">
        <v>35</v>
      </c>
      <c r="I53" s="2">
        <v>46036</v>
      </c>
      <c r="J53" t="s">
        <v>53</v>
      </c>
    </row>
    <row r="54" spans="1:10" x14ac:dyDescent="0.25">
      <c r="B54" t="s">
        <v>11</v>
      </c>
      <c r="C54">
        <v>38</v>
      </c>
      <c r="D54">
        <v>38</v>
      </c>
      <c r="E54" t="s">
        <v>13</v>
      </c>
      <c r="F54" t="s">
        <v>29</v>
      </c>
      <c r="G54" t="s">
        <v>25</v>
      </c>
      <c r="H54" t="s">
        <v>30</v>
      </c>
    </row>
    <row r="55" spans="1:10" x14ac:dyDescent="0.25">
      <c r="B55" t="s">
        <v>65</v>
      </c>
      <c r="C55">
        <v>127</v>
      </c>
      <c r="D55">
        <v>127</v>
      </c>
      <c r="E55" t="s">
        <v>13</v>
      </c>
      <c r="F55" t="s">
        <v>29</v>
      </c>
      <c r="G55" t="s">
        <v>25</v>
      </c>
      <c r="H55" t="s">
        <v>30</v>
      </c>
      <c r="J55" t="s">
        <v>119</v>
      </c>
    </row>
    <row r="56" spans="1:10" x14ac:dyDescent="0.25">
      <c r="B56" t="s">
        <v>11</v>
      </c>
      <c r="C56" t="s">
        <v>56</v>
      </c>
      <c r="D56">
        <v>186</v>
      </c>
      <c r="E56" t="s">
        <v>13</v>
      </c>
      <c r="F56" t="s">
        <v>29</v>
      </c>
      <c r="G56" t="s">
        <v>25</v>
      </c>
      <c r="H56" t="s">
        <v>30</v>
      </c>
    </row>
    <row r="57" spans="1:10" x14ac:dyDescent="0.25">
      <c r="A57" t="s">
        <v>144</v>
      </c>
      <c r="B57" t="s">
        <v>11</v>
      </c>
      <c r="C57" t="s">
        <v>57</v>
      </c>
      <c r="E57" t="s">
        <v>32</v>
      </c>
      <c r="F57" t="s">
        <v>48</v>
      </c>
      <c r="H57" t="s">
        <v>35</v>
      </c>
      <c r="I57" s="2">
        <v>45969</v>
      </c>
    </row>
    <row r="58" spans="1:10" x14ac:dyDescent="0.25">
      <c r="B58" t="s">
        <v>11</v>
      </c>
      <c r="C58" t="s">
        <v>58</v>
      </c>
      <c r="D58">
        <v>52</v>
      </c>
      <c r="E58" t="s">
        <v>13</v>
      </c>
      <c r="F58" t="s">
        <v>29</v>
      </c>
      <c r="G58" t="s">
        <v>25</v>
      </c>
      <c r="H58" t="s">
        <v>30</v>
      </c>
    </row>
    <row r="59" spans="1:10" x14ac:dyDescent="0.25">
      <c r="A59" t="s">
        <v>146</v>
      </c>
      <c r="B59" t="s">
        <v>11</v>
      </c>
      <c r="C59" t="s">
        <v>60</v>
      </c>
      <c r="E59" t="s">
        <v>13</v>
      </c>
      <c r="F59" t="s">
        <v>61</v>
      </c>
      <c r="H59" t="s">
        <v>35</v>
      </c>
      <c r="I59" s="2">
        <v>45998</v>
      </c>
    </row>
    <row r="60" spans="1:10" x14ac:dyDescent="0.25">
      <c r="B60" t="s">
        <v>11</v>
      </c>
      <c r="C60">
        <v>78</v>
      </c>
      <c r="D60">
        <v>78</v>
      </c>
      <c r="E60" t="s">
        <v>13</v>
      </c>
      <c r="F60" t="s">
        <v>29</v>
      </c>
      <c r="G60" t="s">
        <v>25</v>
      </c>
      <c r="H60" t="s">
        <v>30</v>
      </c>
    </row>
    <row r="61" spans="1:10" x14ac:dyDescent="0.25">
      <c r="B61" t="s">
        <v>65</v>
      </c>
      <c r="C61">
        <v>49</v>
      </c>
      <c r="D61">
        <v>49</v>
      </c>
      <c r="E61" t="s">
        <v>13</v>
      </c>
      <c r="F61" t="s">
        <v>29</v>
      </c>
      <c r="G61" t="s">
        <v>25</v>
      </c>
      <c r="H61" t="s">
        <v>30</v>
      </c>
      <c r="J61" t="s">
        <v>119</v>
      </c>
    </row>
    <row r="62" spans="1:10" x14ac:dyDescent="0.25">
      <c r="B62" t="s">
        <v>65</v>
      </c>
      <c r="C62">
        <v>57</v>
      </c>
      <c r="D62">
        <v>57</v>
      </c>
      <c r="E62" t="s">
        <v>13</v>
      </c>
      <c r="F62" t="s">
        <v>29</v>
      </c>
      <c r="G62" t="s">
        <v>25</v>
      </c>
      <c r="H62" t="s">
        <v>30</v>
      </c>
      <c r="J62" t="s">
        <v>119</v>
      </c>
    </row>
    <row r="63" spans="1:10" x14ac:dyDescent="0.25">
      <c r="B63" t="s">
        <v>11</v>
      </c>
      <c r="C63" t="s">
        <v>62</v>
      </c>
      <c r="D63">
        <v>1317</v>
      </c>
      <c r="E63" t="s">
        <v>13</v>
      </c>
      <c r="F63" t="s">
        <v>29</v>
      </c>
      <c r="G63" t="s">
        <v>25</v>
      </c>
      <c r="H63" t="s">
        <v>30</v>
      </c>
    </row>
    <row r="64" spans="1:10" x14ac:dyDescent="0.25">
      <c r="A64" t="s">
        <v>145</v>
      </c>
      <c r="B64" t="s">
        <v>11</v>
      </c>
      <c r="C64" t="s">
        <v>63</v>
      </c>
      <c r="E64" t="s">
        <v>13</v>
      </c>
      <c r="F64" t="s">
        <v>39</v>
      </c>
      <c r="G64" t="s">
        <v>49</v>
      </c>
      <c r="H64" t="s">
        <v>35</v>
      </c>
      <c r="I64" s="2">
        <v>46031</v>
      </c>
    </row>
    <row r="65" spans="1:10" x14ac:dyDescent="0.25">
      <c r="B65" t="s">
        <v>11</v>
      </c>
      <c r="C65">
        <v>1152</v>
      </c>
      <c r="D65">
        <v>1152</v>
      </c>
      <c r="E65" t="s">
        <v>13</v>
      </c>
      <c r="F65" t="s">
        <v>29</v>
      </c>
      <c r="G65" t="s">
        <v>25</v>
      </c>
      <c r="H65" t="s">
        <v>30</v>
      </c>
    </row>
    <row r="66" spans="1:10" x14ac:dyDescent="0.25">
      <c r="B66" t="s">
        <v>65</v>
      </c>
      <c r="C66" t="s">
        <v>120</v>
      </c>
      <c r="D66">
        <v>294</v>
      </c>
      <c r="E66" t="s">
        <v>13</v>
      </c>
      <c r="F66" t="s">
        <v>36</v>
      </c>
      <c r="G66" t="s">
        <v>25</v>
      </c>
      <c r="H66" t="s">
        <v>87</v>
      </c>
      <c r="I66" s="2">
        <v>45125</v>
      </c>
      <c r="J66" t="s">
        <v>119</v>
      </c>
    </row>
    <row r="67" spans="1:10" x14ac:dyDescent="0.25">
      <c r="B67" t="s">
        <v>65</v>
      </c>
      <c r="C67" t="s">
        <v>121</v>
      </c>
      <c r="D67">
        <v>310</v>
      </c>
      <c r="E67" t="s">
        <v>13</v>
      </c>
      <c r="F67" t="s">
        <v>36</v>
      </c>
      <c r="G67" t="s">
        <v>25</v>
      </c>
      <c r="H67" t="s">
        <v>87</v>
      </c>
      <c r="I67" s="2">
        <v>45184</v>
      </c>
      <c r="J67" t="s">
        <v>119</v>
      </c>
    </row>
    <row r="68" spans="1:10" x14ac:dyDescent="0.25">
      <c r="B68" t="s">
        <v>11</v>
      </c>
      <c r="C68" t="s">
        <v>64</v>
      </c>
      <c r="D68">
        <v>818</v>
      </c>
      <c r="E68" t="s">
        <v>13</v>
      </c>
      <c r="F68" t="s">
        <v>36</v>
      </c>
      <c r="G68" t="s">
        <v>25</v>
      </c>
      <c r="H68" t="s">
        <v>30</v>
      </c>
      <c r="I68" s="2">
        <v>45174</v>
      </c>
      <c r="J68" t="s">
        <v>27</v>
      </c>
    </row>
    <row r="69" spans="1:10" x14ac:dyDescent="0.25">
      <c r="A69" t="s">
        <v>147</v>
      </c>
      <c r="B69" t="s">
        <v>148</v>
      </c>
      <c r="C69" t="s">
        <v>149</v>
      </c>
      <c r="E69" t="s">
        <v>13</v>
      </c>
      <c r="F69" t="s">
        <v>39</v>
      </c>
      <c r="G69" t="s">
        <v>49</v>
      </c>
      <c r="H69" t="s">
        <v>35</v>
      </c>
      <c r="I69" t="s">
        <v>150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1"/>
  <sheetViews>
    <sheetView workbookViewId="0"/>
  </sheetViews>
  <sheetFormatPr baseColWidth="10" defaultColWidth="9.140625" defaultRowHeight="15" x14ac:dyDescent="0.25"/>
  <sheetData>
    <row r="1" spans="1:9" x14ac:dyDescent="0.25">
      <c r="A1" s="1" t="s">
        <v>151</v>
      </c>
      <c r="B1" s="1" t="s">
        <v>152</v>
      </c>
      <c r="C1" s="1" t="s">
        <v>3</v>
      </c>
      <c r="D1" s="1" t="s">
        <v>153</v>
      </c>
      <c r="E1" s="1" t="s">
        <v>154</v>
      </c>
      <c r="F1" s="1" t="s">
        <v>155</v>
      </c>
      <c r="G1" s="1" t="s">
        <v>156</v>
      </c>
      <c r="H1" s="1" t="s">
        <v>157</v>
      </c>
      <c r="I1" s="1" t="s">
        <v>158</v>
      </c>
    </row>
    <row r="2" spans="1:9" x14ac:dyDescent="0.25">
      <c r="A2" t="s">
        <v>65</v>
      </c>
      <c r="B2">
        <v>504</v>
      </c>
      <c r="C2" t="s">
        <v>13</v>
      </c>
      <c r="D2" s="2">
        <v>46051</v>
      </c>
      <c r="E2" t="s">
        <v>159</v>
      </c>
      <c r="F2" t="s">
        <v>160</v>
      </c>
      <c r="G2" t="s">
        <v>161</v>
      </c>
      <c r="H2">
        <v>0</v>
      </c>
    </row>
    <row r="3" spans="1:9" x14ac:dyDescent="0.25">
      <c r="A3" t="s">
        <v>65</v>
      </c>
      <c r="B3" t="s">
        <v>162</v>
      </c>
      <c r="C3" t="s">
        <v>13</v>
      </c>
      <c r="D3" s="2">
        <v>46051</v>
      </c>
      <c r="E3" t="s">
        <v>163</v>
      </c>
      <c r="F3" t="s">
        <v>160</v>
      </c>
      <c r="G3" t="s">
        <v>164</v>
      </c>
      <c r="H3">
        <v>0</v>
      </c>
    </row>
    <row r="4" spans="1:9" x14ac:dyDescent="0.25">
      <c r="A4" t="s">
        <v>65</v>
      </c>
      <c r="B4" t="s">
        <v>165</v>
      </c>
      <c r="C4" t="s">
        <v>13</v>
      </c>
      <c r="D4" s="2">
        <v>46051</v>
      </c>
      <c r="E4" t="s">
        <v>166</v>
      </c>
      <c r="F4" t="s">
        <v>160</v>
      </c>
      <c r="G4" t="s">
        <v>167</v>
      </c>
      <c r="H4">
        <v>0</v>
      </c>
    </row>
    <row r="5" spans="1:9" x14ac:dyDescent="0.25">
      <c r="A5" t="s">
        <v>65</v>
      </c>
      <c r="B5" t="s">
        <v>168</v>
      </c>
      <c r="C5" t="s">
        <v>13</v>
      </c>
      <c r="D5" s="2">
        <v>46051</v>
      </c>
      <c r="E5" t="s">
        <v>169</v>
      </c>
      <c r="F5" t="s">
        <v>160</v>
      </c>
      <c r="G5" t="s">
        <v>170</v>
      </c>
      <c r="H5">
        <v>0</v>
      </c>
    </row>
    <row r="6" spans="1:9" x14ac:dyDescent="0.25">
      <c r="A6" t="s">
        <v>65</v>
      </c>
      <c r="B6" t="s">
        <v>99</v>
      </c>
      <c r="C6" t="s">
        <v>13</v>
      </c>
      <c r="D6" s="2">
        <v>46051</v>
      </c>
      <c r="E6" t="s">
        <v>163</v>
      </c>
      <c r="F6" t="s">
        <v>160</v>
      </c>
      <c r="G6" t="s">
        <v>164</v>
      </c>
      <c r="H6">
        <v>0</v>
      </c>
    </row>
    <row r="7" spans="1:9" x14ac:dyDescent="0.25">
      <c r="A7" t="s">
        <v>65</v>
      </c>
      <c r="B7" t="s">
        <v>103</v>
      </c>
      <c r="C7" t="s">
        <v>13</v>
      </c>
      <c r="D7" s="2">
        <v>46051</v>
      </c>
      <c r="E7" t="s">
        <v>171</v>
      </c>
      <c r="F7" t="s">
        <v>160</v>
      </c>
      <c r="G7" t="s">
        <v>170</v>
      </c>
      <c r="H7">
        <v>0</v>
      </c>
    </row>
    <row r="8" spans="1:9" x14ac:dyDescent="0.25">
      <c r="A8" t="s">
        <v>65</v>
      </c>
      <c r="B8" t="s">
        <v>172</v>
      </c>
      <c r="C8" t="s">
        <v>32</v>
      </c>
      <c r="D8" s="2">
        <v>46051</v>
      </c>
      <c r="E8" t="s">
        <v>163</v>
      </c>
      <c r="F8" t="s">
        <v>160</v>
      </c>
      <c r="G8" t="s">
        <v>164</v>
      </c>
      <c r="H8">
        <v>0</v>
      </c>
    </row>
    <row r="9" spans="1:9" x14ac:dyDescent="0.25">
      <c r="A9" t="s">
        <v>65</v>
      </c>
      <c r="B9">
        <v>1799</v>
      </c>
      <c r="C9" t="s">
        <v>13</v>
      </c>
      <c r="D9" s="2">
        <v>46051</v>
      </c>
      <c r="E9" t="s">
        <v>173</v>
      </c>
      <c r="F9" t="s">
        <v>160</v>
      </c>
      <c r="G9" t="s">
        <v>174</v>
      </c>
      <c r="H9">
        <v>0</v>
      </c>
    </row>
    <row r="10" spans="1:9" x14ac:dyDescent="0.25">
      <c r="A10" t="s">
        <v>65</v>
      </c>
      <c r="B10" t="s">
        <v>175</v>
      </c>
      <c r="C10" t="s">
        <v>32</v>
      </c>
      <c r="D10" s="2">
        <v>46051</v>
      </c>
      <c r="E10" t="s">
        <v>176</v>
      </c>
      <c r="F10" t="s">
        <v>160</v>
      </c>
      <c r="G10" t="s">
        <v>164</v>
      </c>
      <c r="H10">
        <v>0</v>
      </c>
    </row>
    <row r="11" spans="1:9" x14ac:dyDescent="0.25">
      <c r="A11" t="s">
        <v>65</v>
      </c>
      <c r="B11">
        <v>1757</v>
      </c>
      <c r="C11" t="s">
        <v>13</v>
      </c>
      <c r="D11" s="2">
        <v>46051</v>
      </c>
      <c r="E11" t="s">
        <v>173</v>
      </c>
      <c r="F11" t="s">
        <v>160</v>
      </c>
      <c r="G11" t="s">
        <v>161</v>
      </c>
      <c r="H11">
        <v>0</v>
      </c>
    </row>
    <row r="12" spans="1:9" x14ac:dyDescent="0.25">
      <c r="A12" t="s">
        <v>65</v>
      </c>
      <c r="B12" t="s">
        <v>177</v>
      </c>
      <c r="C12" t="s">
        <v>32</v>
      </c>
      <c r="D12" s="2">
        <v>46051</v>
      </c>
      <c r="E12" t="s">
        <v>163</v>
      </c>
      <c r="F12" t="s">
        <v>160</v>
      </c>
      <c r="G12" t="s">
        <v>164</v>
      </c>
      <c r="H12">
        <v>0</v>
      </c>
    </row>
    <row r="13" spans="1:9" x14ac:dyDescent="0.25">
      <c r="A13" t="s">
        <v>65</v>
      </c>
      <c r="B13" t="s">
        <v>83</v>
      </c>
      <c r="C13" t="s">
        <v>13</v>
      </c>
      <c r="D13" s="2">
        <v>46051</v>
      </c>
      <c r="E13" t="s">
        <v>178</v>
      </c>
      <c r="F13" t="s">
        <v>160</v>
      </c>
      <c r="G13" t="s">
        <v>179</v>
      </c>
      <c r="H13">
        <v>0</v>
      </c>
    </row>
    <row r="14" spans="1:9" x14ac:dyDescent="0.25">
      <c r="A14" t="s">
        <v>65</v>
      </c>
      <c r="B14" t="s">
        <v>85</v>
      </c>
      <c r="C14" t="s">
        <v>13</v>
      </c>
      <c r="D14" s="2">
        <v>46051</v>
      </c>
      <c r="E14" t="s">
        <v>178</v>
      </c>
      <c r="F14" t="s">
        <v>160</v>
      </c>
      <c r="G14" t="s">
        <v>179</v>
      </c>
      <c r="H14">
        <v>0</v>
      </c>
    </row>
    <row r="15" spans="1:9" x14ac:dyDescent="0.25">
      <c r="A15" t="s">
        <v>65</v>
      </c>
      <c r="B15" t="s">
        <v>88</v>
      </c>
      <c r="C15" t="s">
        <v>13</v>
      </c>
      <c r="D15" s="2">
        <v>46051</v>
      </c>
      <c r="E15" t="s">
        <v>178</v>
      </c>
      <c r="F15" t="s">
        <v>160</v>
      </c>
      <c r="G15" t="s">
        <v>179</v>
      </c>
      <c r="H15">
        <v>0</v>
      </c>
    </row>
    <row r="16" spans="1:9" x14ac:dyDescent="0.25">
      <c r="A16" t="s">
        <v>65</v>
      </c>
      <c r="B16" t="s">
        <v>89</v>
      </c>
      <c r="C16" t="s">
        <v>13</v>
      </c>
      <c r="D16" s="2">
        <v>46051</v>
      </c>
      <c r="E16" t="s">
        <v>178</v>
      </c>
      <c r="F16" t="s">
        <v>160</v>
      </c>
      <c r="G16" t="s">
        <v>179</v>
      </c>
      <c r="H16">
        <v>0</v>
      </c>
    </row>
    <row r="17" spans="1:8" x14ac:dyDescent="0.25">
      <c r="A17" t="s">
        <v>65</v>
      </c>
      <c r="B17" t="s">
        <v>90</v>
      </c>
      <c r="C17" t="s">
        <v>13</v>
      </c>
      <c r="D17" s="2">
        <v>46051</v>
      </c>
      <c r="E17" t="s">
        <v>178</v>
      </c>
      <c r="F17" t="s">
        <v>160</v>
      </c>
      <c r="G17" t="s">
        <v>179</v>
      </c>
      <c r="H17">
        <v>0</v>
      </c>
    </row>
    <row r="18" spans="1:8" x14ac:dyDescent="0.25">
      <c r="A18" t="s">
        <v>65</v>
      </c>
      <c r="B18" t="s">
        <v>91</v>
      </c>
      <c r="C18" t="s">
        <v>13</v>
      </c>
      <c r="D18" s="2">
        <v>46051</v>
      </c>
      <c r="E18" t="s">
        <v>178</v>
      </c>
      <c r="F18" t="s">
        <v>160</v>
      </c>
      <c r="G18" t="s">
        <v>179</v>
      </c>
      <c r="H18">
        <v>0</v>
      </c>
    </row>
    <row r="19" spans="1:8" x14ac:dyDescent="0.25">
      <c r="A19" t="s">
        <v>65</v>
      </c>
      <c r="B19" t="s">
        <v>92</v>
      </c>
      <c r="C19" t="s">
        <v>13</v>
      </c>
      <c r="D19" s="2">
        <v>46051</v>
      </c>
      <c r="E19" t="s">
        <v>178</v>
      </c>
      <c r="F19" t="s">
        <v>160</v>
      </c>
      <c r="G19" t="s">
        <v>179</v>
      </c>
      <c r="H19">
        <v>0</v>
      </c>
    </row>
    <row r="20" spans="1:8" x14ac:dyDescent="0.25">
      <c r="A20" t="s">
        <v>65</v>
      </c>
      <c r="B20" t="s">
        <v>93</v>
      </c>
      <c r="C20" t="s">
        <v>13</v>
      </c>
      <c r="D20" s="2">
        <v>46051</v>
      </c>
      <c r="E20" t="s">
        <v>178</v>
      </c>
      <c r="F20" t="s">
        <v>160</v>
      </c>
      <c r="G20" t="s">
        <v>179</v>
      </c>
      <c r="H20">
        <v>0</v>
      </c>
    </row>
    <row r="21" spans="1:8" x14ac:dyDescent="0.25">
      <c r="A21" t="s">
        <v>65</v>
      </c>
      <c r="B21" t="s">
        <v>105</v>
      </c>
      <c r="C21" t="s">
        <v>13</v>
      </c>
      <c r="D21" s="2">
        <v>46065</v>
      </c>
      <c r="E21" t="s">
        <v>180</v>
      </c>
      <c r="F21" t="s">
        <v>181</v>
      </c>
      <c r="G21" t="s">
        <v>182</v>
      </c>
      <c r="H21">
        <v>0</v>
      </c>
    </row>
    <row r="22" spans="1:8" x14ac:dyDescent="0.25">
      <c r="A22" t="s">
        <v>65</v>
      </c>
      <c r="B22" t="s">
        <v>106</v>
      </c>
      <c r="C22" t="s">
        <v>183</v>
      </c>
      <c r="D22" s="2">
        <v>46065</v>
      </c>
      <c r="E22" t="s">
        <v>184</v>
      </c>
      <c r="F22" t="s">
        <v>181</v>
      </c>
      <c r="G22" t="s">
        <v>185</v>
      </c>
      <c r="H22">
        <v>0</v>
      </c>
    </row>
    <row r="23" spans="1:8" x14ac:dyDescent="0.25">
      <c r="A23" t="s">
        <v>65</v>
      </c>
      <c r="B23">
        <v>504</v>
      </c>
      <c r="C23" t="s">
        <v>13</v>
      </c>
      <c r="D23" s="2">
        <v>46065</v>
      </c>
      <c r="E23" t="s">
        <v>186</v>
      </c>
      <c r="F23" t="s">
        <v>181</v>
      </c>
      <c r="G23" t="s">
        <v>187</v>
      </c>
      <c r="H23">
        <v>0</v>
      </c>
    </row>
    <row r="24" spans="1:8" x14ac:dyDescent="0.25">
      <c r="A24" t="s">
        <v>65</v>
      </c>
      <c r="B24" t="s">
        <v>162</v>
      </c>
      <c r="C24" t="s">
        <v>13</v>
      </c>
      <c r="D24" s="2">
        <v>46065</v>
      </c>
      <c r="E24" t="s">
        <v>188</v>
      </c>
      <c r="F24" t="s">
        <v>181</v>
      </c>
      <c r="G24" t="s">
        <v>189</v>
      </c>
      <c r="H24">
        <v>0</v>
      </c>
    </row>
    <row r="25" spans="1:8" x14ac:dyDescent="0.25">
      <c r="A25" t="s">
        <v>65</v>
      </c>
      <c r="B25" t="s">
        <v>165</v>
      </c>
      <c r="C25" t="s">
        <v>13</v>
      </c>
      <c r="D25" s="2">
        <v>46065</v>
      </c>
      <c r="E25" t="s">
        <v>186</v>
      </c>
      <c r="F25" t="s">
        <v>181</v>
      </c>
      <c r="G25" t="s">
        <v>190</v>
      </c>
      <c r="H25">
        <v>0</v>
      </c>
    </row>
    <row r="26" spans="1:8" x14ac:dyDescent="0.25">
      <c r="A26" t="s">
        <v>65</v>
      </c>
      <c r="B26" t="s">
        <v>168</v>
      </c>
      <c r="C26" t="s">
        <v>13</v>
      </c>
      <c r="D26" s="2">
        <v>46065</v>
      </c>
      <c r="E26" t="s">
        <v>186</v>
      </c>
      <c r="F26" t="s">
        <v>181</v>
      </c>
      <c r="G26" t="s">
        <v>191</v>
      </c>
      <c r="H26">
        <v>0</v>
      </c>
    </row>
    <row r="27" spans="1:8" x14ac:dyDescent="0.25">
      <c r="A27" t="s">
        <v>65</v>
      </c>
      <c r="B27" t="s">
        <v>99</v>
      </c>
      <c r="C27" t="s">
        <v>13</v>
      </c>
      <c r="D27" s="2">
        <v>46065</v>
      </c>
      <c r="E27" t="s">
        <v>188</v>
      </c>
      <c r="F27" t="s">
        <v>181</v>
      </c>
      <c r="G27" t="s">
        <v>192</v>
      </c>
      <c r="H27">
        <v>0</v>
      </c>
    </row>
    <row r="28" spans="1:8" x14ac:dyDescent="0.25">
      <c r="A28" t="s">
        <v>65</v>
      </c>
      <c r="B28" t="s">
        <v>103</v>
      </c>
      <c r="C28" t="s">
        <v>13</v>
      </c>
      <c r="D28" s="2">
        <v>46065</v>
      </c>
      <c r="E28" t="s">
        <v>186</v>
      </c>
      <c r="F28" t="s">
        <v>181</v>
      </c>
      <c r="G28" t="s">
        <v>193</v>
      </c>
      <c r="H28">
        <v>0</v>
      </c>
    </row>
    <row r="29" spans="1:8" x14ac:dyDescent="0.25">
      <c r="A29" t="s">
        <v>65</v>
      </c>
      <c r="B29" t="s">
        <v>172</v>
      </c>
      <c r="C29" t="s">
        <v>32</v>
      </c>
      <c r="D29" s="2">
        <v>46065</v>
      </c>
      <c r="E29" t="s">
        <v>188</v>
      </c>
      <c r="F29" t="s">
        <v>181</v>
      </c>
      <c r="G29" t="s">
        <v>194</v>
      </c>
      <c r="H29">
        <v>0</v>
      </c>
    </row>
    <row r="30" spans="1:8" x14ac:dyDescent="0.25">
      <c r="A30" t="s">
        <v>65</v>
      </c>
      <c r="B30">
        <v>1799</v>
      </c>
      <c r="C30" t="s">
        <v>13</v>
      </c>
      <c r="D30" s="2">
        <v>46065</v>
      </c>
      <c r="E30" t="s">
        <v>186</v>
      </c>
      <c r="F30" t="s">
        <v>181</v>
      </c>
      <c r="G30" t="s">
        <v>195</v>
      </c>
      <c r="H30">
        <v>0</v>
      </c>
    </row>
    <row r="31" spans="1:8" x14ac:dyDescent="0.25">
      <c r="A31" t="s">
        <v>65</v>
      </c>
      <c r="B31" t="s">
        <v>175</v>
      </c>
      <c r="C31" t="s">
        <v>32</v>
      </c>
      <c r="D31" s="2">
        <v>46065</v>
      </c>
      <c r="E31" t="s">
        <v>188</v>
      </c>
      <c r="F31" t="s">
        <v>181</v>
      </c>
      <c r="G31" t="s">
        <v>196</v>
      </c>
      <c r="H31">
        <v>0</v>
      </c>
    </row>
    <row r="32" spans="1:8" x14ac:dyDescent="0.25">
      <c r="A32" t="s">
        <v>65</v>
      </c>
      <c r="B32">
        <v>1757</v>
      </c>
      <c r="C32" t="s">
        <v>13</v>
      </c>
      <c r="D32" s="2">
        <v>46065</v>
      </c>
      <c r="E32" t="s">
        <v>186</v>
      </c>
      <c r="F32" t="s">
        <v>181</v>
      </c>
      <c r="G32" t="s">
        <v>197</v>
      </c>
      <c r="H32">
        <v>0</v>
      </c>
    </row>
    <row r="33" spans="1:8" x14ac:dyDescent="0.25">
      <c r="A33" t="s">
        <v>65</v>
      </c>
      <c r="B33" t="s">
        <v>177</v>
      </c>
      <c r="C33" t="s">
        <v>32</v>
      </c>
      <c r="D33" s="2">
        <v>46065</v>
      </c>
      <c r="E33" t="s">
        <v>188</v>
      </c>
      <c r="F33" t="s">
        <v>181</v>
      </c>
      <c r="G33" t="s">
        <v>198</v>
      </c>
      <c r="H33">
        <v>0</v>
      </c>
    </row>
    <row r="34" spans="1:8" x14ac:dyDescent="0.25">
      <c r="A34" t="s">
        <v>65</v>
      </c>
      <c r="B34" t="s">
        <v>83</v>
      </c>
      <c r="C34" t="s">
        <v>13</v>
      </c>
      <c r="D34" s="2">
        <v>46065</v>
      </c>
      <c r="E34" t="s">
        <v>188</v>
      </c>
      <c r="F34" t="s">
        <v>181</v>
      </c>
      <c r="G34" t="s">
        <v>199</v>
      </c>
      <c r="H34">
        <v>0</v>
      </c>
    </row>
    <row r="35" spans="1:8" x14ac:dyDescent="0.25">
      <c r="A35" t="s">
        <v>65</v>
      </c>
      <c r="B35" t="s">
        <v>85</v>
      </c>
      <c r="C35" t="s">
        <v>13</v>
      </c>
      <c r="D35" s="2">
        <v>46065</v>
      </c>
      <c r="E35" t="s">
        <v>188</v>
      </c>
      <c r="F35" t="s">
        <v>181</v>
      </c>
      <c r="G35" t="s">
        <v>200</v>
      </c>
      <c r="H35">
        <v>0</v>
      </c>
    </row>
    <row r="36" spans="1:8" x14ac:dyDescent="0.25">
      <c r="A36" t="s">
        <v>65</v>
      </c>
      <c r="B36" t="s">
        <v>88</v>
      </c>
      <c r="C36" t="s">
        <v>13</v>
      </c>
      <c r="D36" s="2">
        <v>46065</v>
      </c>
      <c r="E36" t="s">
        <v>188</v>
      </c>
      <c r="F36" t="s">
        <v>181</v>
      </c>
      <c r="G36" t="s">
        <v>201</v>
      </c>
      <c r="H36">
        <v>0</v>
      </c>
    </row>
    <row r="37" spans="1:8" x14ac:dyDescent="0.25">
      <c r="A37" t="s">
        <v>65</v>
      </c>
      <c r="B37" t="s">
        <v>89</v>
      </c>
      <c r="C37" t="s">
        <v>13</v>
      </c>
      <c r="D37" s="2">
        <v>46065</v>
      </c>
      <c r="E37" t="s">
        <v>188</v>
      </c>
      <c r="F37" t="s">
        <v>181</v>
      </c>
      <c r="G37" t="s">
        <v>202</v>
      </c>
      <c r="H37">
        <v>0</v>
      </c>
    </row>
    <row r="38" spans="1:8" x14ac:dyDescent="0.25">
      <c r="A38" t="s">
        <v>65</v>
      </c>
      <c r="B38" t="s">
        <v>90</v>
      </c>
      <c r="C38" t="s">
        <v>13</v>
      </c>
      <c r="D38" s="2">
        <v>46065</v>
      </c>
      <c r="E38" t="s">
        <v>188</v>
      </c>
      <c r="F38" t="s">
        <v>181</v>
      </c>
      <c r="G38" t="s">
        <v>203</v>
      </c>
      <c r="H38">
        <v>0</v>
      </c>
    </row>
    <row r="39" spans="1:8" x14ac:dyDescent="0.25">
      <c r="A39" t="s">
        <v>65</v>
      </c>
      <c r="B39" t="s">
        <v>91</v>
      </c>
      <c r="C39" t="s">
        <v>13</v>
      </c>
      <c r="D39" s="2">
        <v>46065</v>
      </c>
      <c r="E39" t="s">
        <v>188</v>
      </c>
      <c r="F39" t="s">
        <v>181</v>
      </c>
      <c r="G39" t="s">
        <v>204</v>
      </c>
      <c r="H39">
        <v>0</v>
      </c>
    </row>
    <row r="40" spans="1:8" x14ac:dyDescent="0.25">
      <c r="A40" t="s">
        <v>65</v>
      </c>
      <c r="B40" t="s">
        <v>92</v>
      </c>
      <c r="C40" t="s">
        <v>13</v>
      </c>
      <c r="D40" s="2">
        <v>46065</v>
      </c>
      <c r="E40" t="s">
        <v>188</v>
      </c>
      <c r="F40" t="s">
        <v>181</v>
      </c>
      <c r="G40" t="s">
        <v>205</v>
      </c>
      <c r="H40">
        <v>0</v>
      </c>
    </row>
    <row r="41" spans="1:8" x14ac:dyDescent="0.25">
      <c r="A41" t="s">
        <v>65</v>
      </c>
      <c r="B41" t="s">
        <v>93</v>
      </c>
      <c r="C41" t="s">
        <v>13</v>
      </c>
      <c r="D41" s="2">
        <v>46065</v>
      </c>
      <c r="E41" t="s">
        <v>188</v>
      </c>
      <c r="F41" t="s">
        <v>181</v>
      </c>
      <c r="G41" t="s">
        <v>206</v>
      </c>
      <c r="H41">
        <v>0</v>
      </c>
    </row>
    <row r="42" spans="1:8" x14ac:dyDescent="0.25">
      <c r="A42" t="s">
        <v>65</v>
      </c>
      <c r="B42" t="s">
        <v>66</v>
      </c>
      <c r="C42" t="s">
        <v>13</v>
      </c>
      <c r="D42" s="2">
        <v>46065</v>
      </c>
      <c r="E42" t="s">
        <v>188</v>
      </c>
      <c r="F42" t="s">
        <v>181</v>
      </c>
      <c r="G42" t="s">
        <v>207</v>
      </c>
      <c r="H42">
        <v>0</v>
      </c>
    </row>
    <row r="43" spans="1:8" x14ac:dyDescent="0.25">
      <c r="A43" t="s">
        <v>65</v>
      </c>
      <c r="B43" t="s">
        <v>70</v>
      </c>
      <c r="C43" t="s">
        <v>32</v>
      </c>
      <c r="D43" s="2">
        <v>46065</v>
      </c>
      <c r="E43" t="s">
        <v>188</v>
      </c>
      <c r="F43" t="s">
        <v>181</v>
      </c>
      <c r="G43" t="s">
        <v>208</v>
      </c>
      <c r="H43">
        <v>0</v>
      </c>
    </row>
    <row r="44" spans="1:8" x14ac:dyDescent="0.25">
      <c r="A44" t="s">
        <v>65</v>
      </c>
      <c r="B44" t="s">
        <v>74</v>
      </c>
      <c r="C44" t="s">
        <v>13</v>
      </c>
      <c r="D44" s="2">
        <v>46065</v>
      </c>
      <c r="E44" t="s">
        <v>188</v>
      </c>
      <c r="F44" t="s">
        <v>181</v>
      </c>
      <c r="G44" t="s">
        <v>209</v>
      </c>
      <c r="H44">
        <v>0</v>
      </c>
    </row>
    <row r="45" spans="1:8" x14ac:dyDescent="0.25">
      <c r="A45" t="s">
        <v>65</v>
      </c>
      <c r="B45" t="s">
        <v>77</v>
      </c>
      <c r="C45" t="s">
        <v>13</v>
      </c>
      <c r="D45" s="2">
        <v>46065</v>
      </c>
      <c r="E45" t="s">
        <v>188</v>
      </c>
      <c r="F45" t="s">
        <v>181</v>
      </c>
      <c r="G45" t="s">
        <v>210</v>
      </c>
      <c r="H45">
        <v>0</v>
      </c>
    </row>
    <row r="46" spans="1:8" x14ac:dyDescent="0.25">
      <c r="A46" t="s">
        <v>65</v>
      </c>
      <c r="B46" t="s">
        <v>81</v>
      </c>
      <c r="C46" t="s">
        <v>32</v>
      </c>
      <c r="D46" s="2">
        <v>46065</v>
      </c>
      <c r="E46" t="s">
        <v>188</v>
      </c>
      <c r="F46" t="s">
        <v>181</v>
      </c>
      <c r="G46" t="s">
        <v>211</v>
      </c>
      <c r="H46">
        <v>0</v>
      </c>
    </row>
    <row r="47" spans="1:8" x14ac:dyDescent="0.25">
      <c r="A47" t="s">
        <v>65</v>
      </c>
      <c r="B47" t="s">
        <v>94</v>
      </c>
      <c r="C47" t="s">
        <v>13</v>
      </c>
      <c r="D47" s="2">
        <v>46065</v>
      </c>
      <c r="E47" t="s">
        <v>188</v>
      </c>
      <c r="F47" t="s">
        <v>181</v>
      </c>
      <c r="G47" t="s">
        <v>212</v>
      </c>
      <c r="H47">
        <v>0</v>
      </c>
    </row>
    <row r="48" spans="1:8" x14ac:dyDescent="0.25">
      <c r="A48" t="s">
        <v>11</v>
      </c>
      <c r="B48" t="s">
        <v>58</v>
      </c>
      <c r="C48" t="s">
        <v>13</v>
      </c>
      <c r="D48" t="s">
        <v>213</v>
      </c>
      <c r="E48" t="s">
        <v>214</v>
      </c>
      <c r="F48" t="s">
        <v>160</v>
      </c>
      <c r="H48">
        <v>0</v>
      </c>
    </row>
    <row r="49" spans="1:8" x14ac:dyDescent="0.25">
      <c r="A49" t="s">
        <v>11</v>
      </c>
      <c r="B49" t="s">
        <v>41</v>
      </c>
      <c r="C49" t="s">
        <v>13</v>
      </c>
      <c r="D49" s="2">
        <v>46020</v>
      </c>
      <c r="E49" t="s">
        <v>215</v>
      </c>
      <c r="F49" t="s">
        <v>160</v>
      </c>
      <c r="H49">
        <v>0</v>
      </c>
    </row>
    <row r="50" spans="1:8" x14ac:dyDescent="0.25">
      <c r="A50" t="s">
        <v>11</v>
      </c>
      <c r="B50" t="s">
        <v>41</v>
      </c>
      <c r="C50" t="s">
        <v>13</v>
      </c>
      <c r="D50" s="2">
        <v>46051</v>
      </c>
      <c r="E50" t="s">
        <v>216</v>
      </c>
      <c r="F50" t="s">
        <v>160</v>
      </c>
      <c r="H50">
        <v>0</v>
      </c>
    </row>
    <row r="51" spans="1:8" x14ac:dyDescent="0.25">
      <c r="A51" t="s">
        <v>11</v>
      </c>
      <c r="B51">
        <v>21</v>
      </c>
      <c r="C51" t="s">
        <v>13</v>
      </c>
      <c r="D51" s="2">
        <v>46064</v>
      </c>
      <c r="E51" t="s">
        <v>217</v>
      </c>
      <c r="F51" t="s">
        <v>160</v>
      </c>
      <c r="H51">
        <v>0</v>
      </c>
    </row>
    <row r="52" spans="1:8" x14ac:dyDescent="0.25">
      <c r="A52" t="s">
        <v>11</v>
      </c>
      <c r="B52" t="s">
        <v>38</v>
      </c>
      <c r="C52" t="s">
        <v>32</v>
      </c>
      <c r="D52" s="2">
        <v>46066</v>
      </c>
      <c r="E52" t="s">
        <v>218</v>
      </c>
      <c r="F52" t="s">
        <v>160</v>
      </c>
      <c r="H52">
        <v>0</v>
      </c>
    </row>
    <row r="53" spans="1:8" x14ac:dyDescent="0.25">
      <c r="A53" t="s">
        <v>11</v>
      </c>
      <c r="B53" t="s">
        <v>12</v>
      </c>
      <c r="C53" t="s">
        <v>13</v>
      </c>
      <c r="D53" s="2">
        <v>46072</v>
      </c>
      <c r="E53" t="s">
        <v>219</v>
      </c>
      <c r="F53" t="s">
        <v>220</v>
      </c>
      <c r="H53">
        <v>0</v>
      </c>
    </row>
    <row r="54" spans="1:8" x14ac:dyDescent="0.25">
      <c r="A54" t="s">
        <v>11</v>
      </c>
      <c r="B54" t="s">
        <v>18</v>
      </c>
      <c r="C54" t="s">
        <v>13</v>
      </c>
      <c r="D54" s="2">
        <v>46072</v>
      </c>
      <c r="E54" t="s">
        <v>221</v>
      </c>
      <c r="F54" t="s">
        <v>220</v>
      </c>
      <c r="H54">
        <v>0</v>
      </c>
    </row>
    <row r="55" spans="1:8" x14ac:dyDescent="0.25">
      <c r="A55" t="s">
        <v>11</v>
      </c>
      <c r="B55" t="s">
        <v>22</v>
      </c>
      <c r="C55" t="s">
        <v>23</v>
      </c>
      <c r="D55" s="2">
        <v>46072</v>
      </c>
      <c r="E55" t="s">
        <v>222</v>
      </c>
      <c r="F55" t="s">
        <v>220</v>
      </c>
      <c r="H55">
        <v>0</v>
      </c>
    </row>
    <row r="56" spans="1:8" x14ac:dyDescent="0.25">
      <c r="A56" t="s">
        <v>11</v>
      </c>
      <c r="B56" t="s">
        <v>28</v>
      </c>
      <c r="C56" t="s">
        <v>23</v>
      </c>
      <c r="D56" s="2">
        <v>46072</v>
      </c>
      <c r="E56" t="s">
        <v>223</v>
      </c>
      <c r="F56" t="s">
        <v>220</v>
      </c>
      <c r="H56">
        <v>0</v>
      </c>
    </row>
    <row r="57" spans="1:8" x14ac:dyDescent="0.25">
      <c r="A57" t="s">
        <v>11</v>
      </c>
      <c r="B57" t="s">
        <v>31</v>
      </c>
      <c r="C57" t="s">
        <v>32</v>
      </c>
      <c r="D57" s="2">
        <v>46072</v>
      </c>
      <c r="E57" t="s">
        <v>224</v>
      </c>
      <c r="F57" t="s">
        <v>220</v>
      </c>
      <c r="H57">
        <v>0</v>
      </c>
    </row>
    <row r="58" spans="1:8" x14ac:dyDescent="0.25">
      <c r="A58" t="s">
        <v>11</v>
      </c>
      <c r="B58">
        <v>21</v>
      </c>
      <c r="C58" t="s">
        <v>13</v>
      </c>
      <c r="D58" s="2">
        <v>46072</v>
      </c>
      <c r="E58" t="s">
        <v>225</v>
      </c>
      <c r="F58" t="s">
        <v>220</v>
      </c>
      <c r="H58">
        <v>0</v>
      </c>
    </row>
    <row r="59" spans="1:8" x14ac:dyDescent="0.25">
      <c r="A59" t="s">
        <v>11</v>
      </c>
      <c r="B59" t="s">
        <v>38</v>
      </c>
      <c r="C59" t="s">
        <v>32</v>
      </c>
      <c r="D59" s="2">
        <v>46072</v>
      </c>
      <c r="E59" t="s">
        <v>226</v>
      </c>
      <c r="F59" t="s">
        <v>220</v>
      </c>
      <c r="H59">
        <v>0</v>
      </c>
    </row>
    <row r="60" spans="1:8" x14ac:dyDescent="0.25">
      <c r="A60" t="s">
        <v>11</v>
      </c>
      <c r="B60" t="s">
        <v>41</v>
      </c>
      <c r="C60" t="s">
        <v>13</v>
      </c>
      <c r="D60" s="2">
        <v>46072</v>
      </c>
      <c r="E60" t="s">
        <v>227</v>
      </c>
      <c r="F60" t="s">
        <v>220</v>
      </c>
      <c r="H60">
        <v>0</v>
      </c>
    </row>
    <row r="61" spans="1:8" x14ac:dyDescent="0.25">
      <c r="A61" t="s">
        <v>11</v>
      </c>
      <c r="B61" t="s">
        <v>43</v>
      </c>
      <c r="C61" t="s">
        <v>32</v>
      </c>
      <c r="D61" s="2">
        <v>46072</v>
      </c>
      <c r="E61" t="s">
        <v>224</v>
      </c>
      <c r="F61" t="s">
        <v>220</v>
      </c>
      <c r="H61">
        <v>0</v>
      </c>
    </row>
    <row r="62" spans="1:8" x14ac:dyDescent="0.25">
      <c r="A62" t="s">
        <v>11</v>
      </c>
      <c r="B62" t="s">
        <v>47</v>
      </c>
      <c r="C62" t="s">
        <v>32</v>
      </c>
      <c r="D62" s="2">
        <v>46072</v>
      </c>
      <c r="E62" t="s">
        <v>228</v>
      </c>
      <c r="F62" t="s">
        <v>220</v>
      </c>
      <c r="H62">
        <v>0</v>
      </c>
    </row>
    <row r="63" spans="1:8" x14ac:dyDescent="0.25">
      <c r="A63" t="s">
        <v>11</v>
      </c>
      <c r="B63">
        <v>53</v>
      </c>
      <c r="C63" t="s">
        <v>13</v>
      </c>
      <c r="D63" s="2">
        <v>46072</v>
      </c>
      <c r="E63" t="s">
        <v>229</v>
      </c>
      <c r="F63" t="s">
        <v>220</v>
      </c>
      <c r="H63">
        <v>0</v>
      </c>
    </row>
    <row r="64" spans="1:8" x14ac:dyDescent="0.25">
      <c r="A64" t="s">
        <v>11</v>
      </c>
      <c r="B64" t="s">
        <v>52</v>
      </c>
      <c r="C64" t="s">
        <v>13</v>
      </c>
      <c r="D64" s="2">
        <v>46072</v>
      </c>
      <c r="E64" t="s">
        <v>230</v>
      </c>
      <c r="F64" t="s">
        <v>220</v>
      </c>
      <c r="H64">
        <v>0</v>
      </c>
    </row>
    <row r="65" spans="1:8" x14ac:dyDescent="0.25">
      <c r="A65" t="s">
        <v>11</v>
      </c>
      <c r="B65" t="s">
        <v>54</v>
      </c>
      <c r="C65" t="s">
        <v>13</v>
      </c>
      <c r="D65" s="2">
        <v>46072</v>
      </c>
      <c r="E65" t="s">
        <v>231</v>
      </c>
      <c r="F65" t="s">
        <v>220</v>
      </c>
      <c r="H65">
        <v>0</v>
      </c>
    </row>
    <row r="66" spans="1:8" x14ac:dyDescent="0.25">
      <c r="A66" t="s">
        <v>11</v>
      </c>
      <c r="B66" t="s">
        <v>55</v>
      </c>
      <c r="C66" t="s">
        <v>13</v>
      </c>
      <c r="D66" s="2">
        <v>46072</v>
      </c>
      <c r="E66" t="s">
        <v>232</v>
      </c>
      <c r="F66" t="s">
        <v>220</v>
      </c>
      <c r="H66">
        <v>0</v>
      </c>
    </row>
    <row r="67" spans="1:8" x14ac:dyDescent="0.25">
      <c r="A67" t="s">
        <v>11</v>
      </c>
      <c r="B67">
        <v>38</v>
      </c>
      <c r="C67" t="s">
        <v>13</v>
      </c>
      <c r="D67" s="2">
        <v>46072</v>
      </c>
      <c r="E67" t="s">
        <v>233</v>
      </c>
      <c r="F67" t="s">
        <v>220</v>
      </c>
      <c r="H67">
        <v>0</v>
      </c>
    </row>
    <row r="68" spans="1:8" x14ac:dyDescent="0.25">
      <c r="A68" t="s">
        <v>11</v>
      </c>
      <c r="B68" t="s">
        <v>56</v>
      </c>
      <c r="C68" t="s">
        <v>13</v>
      </c>
      <c r="D68" s="2">
        <v>46072</v>
      </c>
      <c r="E68" t="s">
        <v>234</v>
      </c>
      <c r="F68" t="s">
        <v>220</v>
      </c>
      <c r="H68">
        <v>0</v>
      </c>
    </row>
    <row r="69" spans="1:8" x14ac:dyDescent="0.25">
      <c r="A69" t="s">
        <v>11</v>
      </c>
      <c r="B69" t="s">
        <v>57</v>
      </c>
      <c r="C69" t="s">
        <v>32</v>
      </c>
      <c r="D69" s="2">
        <v>46072</v>
      </c>
      <c r="E69" t="s">
        <v>235</v>
      </c>
      <c r="F69" t="s">
        <v>220</v>
      </c>
      <c r="H69">
        <v>0</v>
      </c>
    </row>
    <row r="70" spans="1:8" x14ac:dyDescent="0.25">
      <c r="A70" t="s">
        <v>11</v>
      </c>
      <c r="B70" t="s">
        <v>58</v>
      </c>
      <c r="C70" t="s">
        <v>13</v>
      </c>
      <c r="D70" s="2">
        <v>46072</v>
      </c>
      <c r="E70" t="s">
        <v>236</v>
      </c>
      <c r="F70" t="s">
        <v>220</v>
      </c>
      <c r="H70">
        <v>0</v>
      </c>
    </row>
    <row r="71" spans="1:8" x14ac:dyDescent="0.25">
      <c r="A71" t="s">
        <v>11</v>
      </c>
      <c r="B71" t="s">
        <v>60</v>
      </c>
      <c r="C71" t="s">
        <v>13</v>
      </c>
      <c r="D71" s="2">
        <v>46072</v>
      </c>
      <c r="E71" t="s">
        <v>237</v>
      </c>
      <c r="F71" t="s">
        <v>220</v>
      </c>
      <c r="H71">
        <v>0</v>
      </c>
    </row>
    <row r="72" spans="1:8" x14ac:dyDescent="0.25">
      <c r="A72" t="s">
        <v>11</v>
      </c>
      <c r="B72">
        <v>78</v>
      </c>
      <c r="C72" t="s">
        <v>13</v>
      </c>
      <c r="D72" s="2">
        <v>46072</v>
      </c>
      <c r="E72" t="s">
        <v>238</v>
      </c>
      <c r="F72" t="s">
        <v>220</v>
      </c>
      <c r="H72">
        <v>0</v>
      </c>
    </row>
    <row r="73" spans="1:8" x14ac:dyDescent="0.25">
      <c r="A73" t="s">
        <v>11</v>
      </c>
      <c r="B73" t="s">
        <v>62</v>
      </c>
      <c r="C73" t="s">
        <v>13</v>
      </c>
      <c r="D73" s="2">
        <v>46072</v>
      </c>
      <c r="E73" t="s">
        <v>239</v>
      </c>
      <c r="F73" t="s">
        <v>220</v>
      </c>
      <c r="H73">
        <v>0</v>
      </c>
    </row>
    <row r="74" spans="1:8" x14ac:dyDescent="0.25">
      <c r="A74" t="s">
        <v>11</v>
      </c>
      <c r="B74" t="s">
        <v>63</v>
      </c>
      <c r="C74" t="s">
        <v>13</v>
      </c>
      <c r="D74" s="2">
        <v>46072</v>
      </c>
      <c r="E74" t="s">
        <v>240</v>
      </c>
      <c r="F74" t="s">
        <v>220</v>
      </c>
      <c r="H74">
        <v>0</v>
      </c>
    </row>
    <row r="75" spans="1:8" x14ac:dyDescent="0.25">
      <c r="A75" t="s">
        <v>11</v>
      </c>
      <c r="B75">
        <v>1152</v>
      </c>
      <c r="C75" t="s">
        <v>13</v>
      </c>
      <c r="D75" s="2">
        <v>46072</v>
      </c>
      <c r="E75" t="s">
        <v>241</v>
      </c>
      <c r="F75" t="s">
        <v>220</v>
      </c>
      <c r="H75">
        <v>0</v>
      </c>
    </row>
    <row r="76" spans="1:8" x14ac:dyDescent="0.25">
      <c r="A76" t="s">
        <v>11</v>
      </c>
      <c r="B76" t="s">
        <v>64</v>
      </c>
      <c r="C76" t="s">
        <v>13</v>
      </c>
      <c r="D76" s="2">
        <v>46072</v>
      </c>
      <c r="E76" t="s">
        <v>242</v>
      </c>
      <c r="F76" t="s">
        <v>220</v>
      </c>
      <c r="H76">
        <v>0</v>
      </c>
    </row>
    <row r="77" spans="1:8" x14ac:dyDescent="0.25">
      <c r="A77" t="s">
        <v>11</v>
      </c>
      <c r="B77" t="s">
        <v>12</v>
      </c>
      <c r="C77" t="s">
        <v>13</v>
      </c>
      <c r="D77" s="2">
        <v>46069</v>
      </c>
      <c r="E77" t="s">
        <v>243</v>
      </c>
      <c r="F77" t="s">
        <v>220</v>
      </c>
      <c r="H77">
        <v>0</v>
      </c>
    </row>
    <row r="78" spans="1:8" x14ac:dyDescent="0.25">
      <c r="A78" t="s">
        <v>11</v>
      </c>
      <c r="B78" t="s">
        <v>12</v>
      </c>
      <c r="C78" t="s">
        <v>13</v>
      </c>
      <c r="D78" s="2">
        <v>46063</v>
      </c>
      <c r="E78" t="s">
        <v>244</v>
      </c>
      <c r="F78" t="s">
        <v>220</v>
      </c>
      <c r="G78" t="s">
        <v>245</v>
      </c>
      <c r="H78">
        <v>0</v>
      </c>
    </row>
    <row r="79" spans="1:8" x14ac:dyDescent="0.25">
      <c r="A79" t="s">
        <v>11</v>
      </c>
      <c r="B79" t="s">
        <v>18</v>
      </c>
      <c r="C79" t="s">
        <v>13</v>
      </c>
      <c r="D79" s="2">
        <v>46063</v>
      </c>
      <c r="E79" t="s">
        <v>244</v>
      </c>
      <c r="F79" t="s">
        <v>220</v>
      </c>
      <c r="G79" t="s">
        <v>245</v>
      </c>
      <c r="H79">
        <v>0</v>
      </c>
    </row>
    <row r="80" spans="1:8" x14ac:dyDescent="0.25">
      <c r="A80" t="s">
        <v>11</v>
      </c>
      <c r="B80" t="s">
        <v>22</v>
      </c>
      <c r="C80" t="s">
        <v>23</v>
      </c>
      <c r="D80" s="2">
        <v>46063</v>
      </c>
      <c r="E80" t="s">
        <v>244</v>
      </c>
      <c r="F80" t="s">
        <v>220</v>
      </c>
      <c r="G80" t="s">
        <v>245</v>
      </c>
      <c r="H80">
        <v>0</v>
      </c>
    </row>
    <row r="81" spans="1:8" x14ac:dyDescent="0.25">
      <c r="A81" t="s">
        <v>11</v>
      </c>
      <c r="B81" t="s">
        <v>28</v>
      </c>
      <c r="C81" t="s">
        <v>23</v>
      </c>
      <c r="D81" s="2">
        <v>46063</v>
      </c>
      <c r="E81" t="s">
        <v>244</v>
      </c>
      <c r="F81" t="s">
        <v>220</v>
      </c>
      <c r="G81" t="s">
        <v>245</v>
      </c>
      <c r="H81">
        <v>0</v>
      </c>
    </row>
    <row r="82" spans="1:8" x14ac:dyDescent="0.25">
      <c r="A82" t="s">
        <v>11</v>
      </c>
      <c r="B82" t="s">
        <v>31</v>
      </c>
      <c r="C82" t="s">
        <v>32</v>
      </c>
      <c r="D82" s="2">
        <v>46063</v>
      </c>
      <c r="E82" t="s">
        <v>246</v>
      </c>
      <c r="F82" t="s">
        <v>220</v>
      </c>
      <c r="G82" t="s">
        <v>245</v>
      </c>
      <c r="H82">
        <v>0</v>
      </c>
    </row>
    <row r="83" spans="1:8" x14ac:dyDescent="0.25">
      <c r="A83" t="s">
        <v>11</v>
      </c>
      <c r="B83">
        <v>21</v>
      </c>
      <c r="C83" t="s">
        <v>13</v>
      </c>
      <c r="D83" s="2">
        <v>46063</v>
      </c>
      <c r="E83" t="s">
        <v>244</v>
      </c>
      <c r="F83" t="s">
        <v>220</v>
      </c>
      <c r="G83" t="s">
        <v>245</v>
      </c>
      <c r="H83">
        <v>0</v>
      </c>
    </row>
    <row r="84" spans="1:8" x14ac:dyDescent="0.25">
      <c r="A84" t="s">
        <v>11</v>
      </c>
      <c r="B84" t="s">
        <v>38</v>
      </c>
      <c r="C84" t="s">
        <v>32</v>
      </c>
      <c r="D84" s="2">
        <v>46063</v>
      </c>
      <c r="E84" t="s">
        <v>246</v>
      </c>
      <c r="F84" t="s">
        <v>220</v>
      </c>
      <c r="G84" t="s">
        <v>245</v>
      </c>
      <c r="H84">
        <v>0</v>
      </c>
    </row>
    <row r="85" spans="1:8" x14ac:dyDescent="0.25">
      <c r="A85" t="s">
        <v>11</v>
      </c>
      <c r="B85" t="s">
        <v>41</v>
      </c>
      <c r="C85" t="s">
        <v>13</v>
      </c>
      <c r="D85" s="2">
        <v>46063</v>
      </c>
      <c r="E85" t="s">
        <v>244</v>
      </c>
      <c r="F85" t="s">
        <v>220</v>
      </c>
      <c r="G85" t="s">
        <v>245</v>
      </c>
      <c r="H85">
        <v>0</v>
      </c>
    </row>
    <row r="86" spans="1:8" x14ac:dyDescent="0.25">
      <c r="A86" t="s">
        <v>11</v>
      </c>
      <c r="B86" t="s">
        <v>43</v>
      </c>
      <c r="C86" t="s">
        <v>32</v>
      </c>
      <c r="D86" s="2">
        <v>46063</v>
      </c>
      <c r="E86" t="s">
        <v>246</v>
      </c>
      <c r="F86" t="s">
        <v>220</v>
      </c>
      <c r="G86" t="s">
        <v>245</v>
      </c>
      <c r="H86">
        <v>0</v>
      </c>
    </row>
    <row r="87" spans="1:8" x14ac:dyDescent="0.25">
      <c r="A87" t="s">
        <v>11</v>
      </c>
      <c r="B87" t="s">
        <v>47</v>
      </c>
      <c r="C87" t="s">
        <v>32</v>
      </c>
      <c r="D87" s="2">
        <v>46063</v>
      </c>
      <c r="E87" t="s">
        <v>246</v>
      </c>
      <c r="F87" t="s">
        <v>220</v>
      </c>
      <c r="G87" t="s">
        <v>245</v>
      </c>
      <c r="H87">
        <v>0</v>
      </c>
    </row>
    <row r="88" spans="1:8" x14ac:dyDescent="0.25">
      <c r="A88" t="s">
        <v>11</v>
      </c>
      <c r="B88">
        <v>53</v>
      </c>
      <c r="C88" t="s">
        <v>13</v>
      </c>
      <c r="D88" s="2">
        <v>46063</v>
      </c>
      <c r="E88" t="s">
        <v>244</v>
      </c>
      <c r="F88" t="s">
        <v>220</v>
      </c>
      <c r="G88" t="s">
        <v>245</v>
      </c>
      <c r="H88">
        <v>0</v>
      </c>
    </row>
    <row r="89" spans="1:8" x14ac:dyDescent="0.25">
      <c r="A89" t="s">
        <v>11</v>
      </c>
      <c r="B89" t="s">
        <v>52</v>
      </c>
      <c r="C89" t="s">
        <v>13</v>
      </c>
      <c r="D89" s="2">
        <v>46063</v>
      </c>
      <c r="E89" t="s">
        <v>246</v>
      </c>
      <c r="F89" t="s">
        <v>220</v>
      </c>
      <c r="G89" t="s">
        <v>245</v>
      </c>
      <c r="H89">
        <v>0</v>
      </c>
    </row>
    <row r="90" spans="1:8" x14ac:dyDescent="0.25">
      <c r="A90" t="s">
        <v>11</v>
      </c>
      <c r="B90" t="s">
        <v>54</v>
      </c>
      <c r="C90" t="s">
        <v>13</v>
      </c>
      <c r="D90" s="2">
        <v>46063</v>
      </c>
      <c r="E90" t="s">
        <v>244</v>
      </c>
      <c r="F90" t="s">
        <v>220</v>
      </c>
      <c r="G90" t="s">
        <v>245</v>
      </c>
      <c r="H90">
        <v>0</v>
      </c>
    </row>
    <row r="91" spans="1:8" x14ac:dyDescent="0.25">
      <c r="A91" t="s">
        <v>11</v>
      </c>
      <c r="B91" t="s">
        <v>55</v>
      </c>
      <c r="C91" t="s">
        <v>13</v>
      </c>
      <c r="D91" s="2">
        <v>46063</v>
      </c>
      <c r="E91" t="s">
        <v>246</v>
      </c>
      <c r="F91" t="s">
        <v>220</v>
      </c>
      <c r="G91" t="s">
        <v>245</v>
      </c>
      <c r="H91">
        <v>0</v>
      </c>
    </row>
    <row r="92" spans="1:8" x14ac:dyDescent="0.25">
      <c r="A92" t="s">
        <v>11</v>
      </c>
      <c r="B92">
        <v>38</v>
      </c>
      <c r="C92" t="s">
        <v>13</v>
      </c>
      <c r="D92" s="2">
        <v>46063</v>
      </c>
      <c r="E92" t="s">
        <v>244</v>
      </c>
      <c r="F92" t="s">
        <v>220</v>
      </c>
      <c r="G92" t="s">
        <v>245</v>
      </c>
      <c r="H92">
        <v>0</v>
      </c>
    </row>
    <row r="93" spans="1:8" x14ac:dyDescent="0.25">
      <c r="A93" t="s">
        <v>11</v>
      </c>
      <c r="B93" t="s">
        <v>56</v>
      </c>
      <c r="C93" t="s">
        <v>13</v>
      </c>
      <c r="D93" s="2">
        <v>46063</v>
      </c>
      <c r="E93" t="s">
        <v>244</v>
      </c>
      <c r="F93" t="s">
        <v>220</v>
      </c>
      <c r="G93" t="s">
        <v>245</v>
      </c>
      <c r="H93">
        <v>0</v>
      </c>
    </row>
    <row r="94" spans="1:8" x14ac:dyDescent="0.25">
      <c r="A94" t="s">
        <v>11</v>
      </c>
      <c r="B94" t="s">
        <v>57</v>
      </c>
      <c r="C94" t="s">
        <v>32</v>
      </c>
      <c r="D94" s="2">
        <v>46063</v>
      </c>
      <c r="E94" t="s">
        <v>246</v>
      </c>
      <c r="F94" t="s">
        <v>220</v>
      </c>
      <c r="G94" t="s">
        <v>245</v>
      </c>
      <c r="H94">
        <v>0</v>
      </c>
    </row>
    <row r="95" spans="1:8" x14ac:dyDescent="0.25">
      <c r="A95" t="s">
        <v>11</v>
      </c>
      <c r="B95" t="s">
        <v>58</v>
      </c>
      <c r="C95" t="s">
        <v>13</v>
      </c>
      <c r="D95" s="2">
        <v>46063</v>
      </c>
      <c r="E95" t="s">
        <v>244</v>
      </c>
      <c r="F95" t="s">
        <v>220</v>
      </c>
      <c r="G95" t="s">
        <v>245</v>
      </c>
      <c r="H95">
        <v>0</v>
      </c>
    </row>
    <row r="96" spans="1:8" x14ac:dyDescent="0.25">
      <c r="A96" t="s">
        <v>11</v>
      </c>
      <c r="B96" t="s">
        <v>60</v>
      </c>
      <c r="C96" t="s">
        <v>13</v>
      </c>
      <c r="D96" s="2">
        <v>46063</v>
      </c>
      <c r="E96" t="s">
        <v>246</v>
      </c>
      <c r="F96" t="s">
        <v>220</v>
      </c>
      <c r="G96" t="s">
        <v>245</v>
      </c>
      <c r="H96">
        <v>0</v>
      </c>
    </row>
    <row r="97" spans="1:8" x14ac:dyDescent="0.25">
      <c r="A97" t="s">
        <v>11</v>
      </c>
      <c r="B97">
        <v>78</v>
      </c>
      <c r="C97" t="s">
        <v>13</v>
      </c>
      <c r="D97" s="2">
        <v>46063</v>
      </c>
      <c r="E97" t="s">
        <v>244</v>
      </c>
      <c r="F97" t="s">
        <v>220</v>
      </c>
      <c r="G97" t="s">
        <v>245</v>
      </c>
      <c r="H97">
        <v>0</v>
      </c>
    </row>
    <row r="98" spans="1:8" x14ac:dyDescent="0.25">
      <c r="A98" t="s">
        <v>11</v>
      </c>
      <c r="B98" t="s">
        <v>62</v>
      </c>
      <c r="C98" t="s">
        <v>13</v>
      </c>
      <c r="D98" s="2">
        <v>46063</v>
      </c>
      <c r="E98" t="s">
        <v>244</v>
      </c>
      <c r="F98" t="s">
        <v>220</v>
      </c>
      <c r="G98" t="s">
        <v>245</v>
      </c>
      <c r="H98">
        <v>0</v>
      </c>
    </row>
    <row r="99" spans="1:8" x14ac:dyDescent="0.25">
      <c r="A99" t="s">
        <v>11</v>
      </c>
      <c r="B99" t="s">
        <v>63</v>
      </c>
      <c r="C99" t="s">
        <v>13</v>
      </c>
      <c r="D99" s="2">
        <v>46063</v>
      </c>
      <c r="E99" t="s">
        <v>246</v>
      </c>
      <c r="F99" t="s">
        <v>220</v>
      </c>
      <c r="G99" t="s">
        <v>245</v>
      </c>
      <c r="H99">
        <v>0</v>
      </c>
    </row>
    <row r="100" spans="1:8" x14ac:dyDescent="0.25">
      <c r="A100" t="s">
        <v>11</v>
      </c>
      <c r="B100">
        <v>1152</v>
      </c>
      <c r="C100" t="s">
        <v>13</v>
      </c>
      <c r="D100" s="2">
        <v>46063</v>
      </c>
      <c r="E100" t="s">
        <v>244</v>
      </c>
      <c r="F100" t="s">
        <v>220</v>
      </c>
      <c r="G100" t="s">
        <v>245</v>
      </c>
      <c r="H100">
        <v>0</v>
      </c>
    </row>
    <row r="101" spans="1:8" x14ac:dyDescent="0.25">
      <c r="A101" t="s">
        <v>11</v>
      </c>
      <c r="B101" t="s">
        <v>64</v>
      </c>
      <c r="C101" t="s">
        <v>13</v>
      </c>
      <c r="D101" s="2">
        <v>46063</v>
      </c>
      <c r="E101" t="s">
        <v>244</v>
      </c>
      <c r="F101" t="s">
        <v>220</v>
      </c>
      <c r="G101" t="s">
        <v>245</v>
      </c>
      <c r="H101">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baseColWidth="10" defaultColWidth="9.140625" defaultRowHeight="15" x14ac:dyDescent="0.25"/>
  <sheetData>
    <row r="1" spans="1:4" x14ac:dyDescent="0.25">
      <c r="A1" s="1" t="s">
        <v>247</v>
      </c>
      <c r="B1" s="1" t="s">
        <v>248</v>
      </c>
      <c r="C1" s="1" t="s">
        <v>249</v>
      </c>
      <c r="D1" s="1" t="s">
        <v>250</v>
      </c>
    </row>
    <row r="2" spans="1:4" x14ac:dyDescent="0.25">
      <c r="A2" t="s">
        <v>251</v>
      </c>
      <c r="B2">
        <v>704</v>
      </c>
      <c r="C2">
        <v>2000</v>
      </c>
      <c r="D2">
        <v>1408000</v>
      </c>
    </row>
    <row r="3" spans="1:4" x14ac:dyDescent="0.25">
      <c r="A3" t="s">
        <v>252</v>
      </c>
      <c r="B3">
        <v>847</v>
      </c>
      <c r="C3">
        <v>2000</v>
      </c>
      <c r="D3">
        <v>1694000</v>
      </c>
    </row>
    <row r="4" spans="1:4" x14ac:dyDescent="0.25">
      <c r="A4" t="s">
        <v>253</v>
      </c>
      <c r="B4">
        <v>832</v>
      </c>
      <c r="C4">
        <v>2000</v>
      </c>
      <c r="D4">
        <v>1664000</v>
      </c>
    </row>
    <row r="5" spans="1:4" x14ac:dyDescent="0.25">
      <c r="A5" t="s">
        <v>254</v>
      </c>
      <c r="B5">
        <v>937</v>
      </c>
      <c r="C5">
        <v>2000</v>
      </c>
      <c r="D5">
        <v>1874000</v>
      </c>
    </row>
    <row r="6" spans="1:4" x14ac:dyDescent="0.25">
      <c r="A6" t="s">
        <v>255</v>
      </c>
      <c r="B6">
        <v>867</v>
      </c>
      <c r="C6">
        <v>2000</v>
      </c>
      <c r="D6">
        <v>1734000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heetViews>
  <sheetFormatPr baseColWidth="10" defaultColWidth="9.140625" defaultRowHeight="15" x14ac:dyDescent="0.25"/>
  <sheetData>
    <row r="1" spans="1:4" x14ac:dyDescent="0.25">
      <c r="A1" s="1" t="s">
        <v>247</v>
      </c>
      <c r="B1" s="1" t="s">
        <v>256</v>
      </c>
      <c r="C1" s="1" t="s">
        <v>257</v>
      </c>
      <c r="D1" s="1" t="s">
        <v>250</v>
      </c>
    </row>
    <row r="2" spans="1:4" x14ac:dyDescent="0.25">
      <c r="A2" t="s">
        <v>251</v>
      </c>
      <c r="B2">
        <v>8000</v>
      </c>
      <c r="C2">
        <v>7</v>
      </c>
      <c r="D2">
        <v>56000</v>
      </c>
    </row>
    <row r="3" spans="1:4" x14ac:dyDescent="0.25">
      <c r="A3" t="s">
        <v>252</v>
      </c>
      <c r="B3">
        <v>12000</v>
      </c>
      <c r="C3">
        <v>7</v>
      </c>
      <c r="D3">
        <v>84000</v>
      </c>
    </row>
    <row r="4" spans="1:4" x14ac:dyDescent="0.25">
      <c r="A4" t="s">
        <v>253</v>
      </c>
      <c r="B4">
        <v>12000</v>
      </c>
      <c r="C4">
        <v>7</v>
      </c>
      <c r="D4">
        <v>84000</v>
      </c>
    </row>
    <row r="5" spans="1:4" x14ac:dyDescent="0.25">
      <c r="A5" t="s">
        <v>254</v>
      </c>
      <c r="B5">
        <v>12000</v>
      </c>
      <c r="C5">
        <v>7</v>
      </c>
      <c r="D5">
        <v>84000</v>
      </c>
    </row>
    <row r="6" spans="1:4" x14ac:dyDescent="0.25">
      <c r="A6" t="s">
        <v>255</v>
      </c>
      <c r="B6">
        <v>12000</v>
      </c>
      <c r="C6">
        <v>7</v>
      </c>
      <c r="D6">
        <v>84000</v>
      </c>
    </row>
    <row r="7" spans="1:4" x14ac:dyDescent="0.25">
      <c r="A7" t="s">
        <v>258</v>
      </c>
      <c r="B7">
        <v>12000</v>
      </c>
      <c r="C7">
        <v>7</v>
      </c>
      <c r="D7">
        <v>84000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workbookViewId="0"/>
  </sheetViews>
  <sheetFormatPr baseColWidth="10" defaultColWidth="9.140625" defaultRowHeight="15" x14ac:dyDescent="0.25"/>
  <sheetData>
    <row r="1" spans="1:5" x14ac:dyDescent="0.25">
      <c r="A1" s="1" t="s">
        <v>247</v>
      </c>
      <c r="B1" s="1" t="s">
        <v>256</v>
      </c>
      <c r="C1" s="1" t="s">
        <v>257</v>
      </c>
      <c r="D1" s="1" t="s">
        <v>250</v>
      </c>
      <c r="E1" s="1" t="s">
        <v>158</v>
      </c>
    </row>
    <row r="2" spans="1:5" x14ac:dyDescent="0.25">
      <c r="A2" t="s">
        <v>253</v>
      </c>
    </row>
    <row r="3" spans="1:5" x14ac:dyDescent="0.25">
      <c r="A3" t="s">
        <v>254</v>
      </c>
    </row>
    <row r="4" spans="1:5" x14ac:dyDescent="0.25">
      <c r="A4" t="s">
        <v>255</v>
      </c>
    </row>
    <row r="5" spans="1:5" x14ac:dyDescent="0.25">
      <c r="A5" t="s">
        <v>258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3"/>
  <sheetViews>
    <sheetView workbookViewId="0"/>
  </sheetViews>
  <sheetFormatPr baseColWidth="10" defaultColWidth="9.140625" defaultRowHeight="15" x14ac:dyDescent="0.25"/>
  <sheetData>
    <row r="1" spans="1:6" x14ac:dyDescent="0.25">
      <c r="A1" s="1" t="s">
        <v>153</v>
      </c>
      <c r="B1" s="1" t="s">
        <v>259</v>
      </c>
      <c r="C1" s="1" t="s">
        <v>260</v>
      </c>
      <c r="D1" s="1" t="s">
        <v>261</v>
      </c>
      <c r="E1" s="1" t="s">
        <v>250</v>
      </c>
      <c r="F1" s="1" t="s">
        <v>262</v>
      </c>
    </row>
    <row r="2" spans="1:6" x14ac:dyDescent="0.25">
      <c r="A2" s="2">
        <v>46041</v>
      </c>
      <c r="B2" t="s">
        <v>263</v>
      </c>
      <c r="C2">
        <v>61.8</v>
      </c>
      <c r="D2">
        <v>9000</v>
      </c>
      <c r="E2">
        <v>556200</v>
      </c>
      <c r="F2" t="s">
        <v>264</v>
      </c>
    </row>
    <row r="3" spans="1:6" x14ac:dyDescent="0.25">
      <c r="A3" s="2">
        <v>46043</v>
      </c>
      <c r="B3" t="s">
        <v>263</v>
      </c>
      <c r="C3">
        <v>46.4</v>
      </c>
      <c r="D3">
        <v>9000</v>
      </c>
      <c r="E3">
        <v>417600</v>
      </c>
      <c r="F3" t="s">
        <v>264</v>
      </c>
    </row>
    <row r="4" spans="1:6" x14ac:dyDescent="0.25">
      <c r="A4" s="2">
        <v>46043</v>
      </c>
      <c r="B4" t="s">
        <v>265</v>
      </c>
      <c r="C4">
        <v>10.5</v>
      </c>
      <c r="D4">
        <v>10000</v>
      </c>
      <c r="E4">
        <v>105000</v>
      </c>
      <c r="F4" t="s">
        <v>264</v>
      </c>
    </row>
    <row r="5" spans="1:6" x14ac:dyDescent="0.25">
      <c r="A5" s="2">
        <v>46044</v>
      </c>
      <c r="B5" t="s">
        <v>266</v>
      </c>
      <c r="C5">
        <v>18</v>
      </c>
      <c r="D5">
        <v>9500</v>
      </c>
      <c r="E5">
        <v>171000</v>
      </c>
      <c r="F5" t="s">
        <v>264</v>
      </c>
    </row>
    <row r="6" spans="1:6" x14ac:dyDescent="0.25">
      <c r="A6" s="2">
        <v>46044</v>
      </c>
      <c r="B6" t="s">
        <v>267</v>
      </c>
      <c r="C6">
        <v>3</v>
      </c>
      <c r="D6">
        <v>11000</v>
      </c>
      <c r="E6">
        <v>33000</v>
      </c>
      <c r="F6" t="s">
        <v>264</v>
      </c>
    </row>
    <row r="7" spans="1:6" x14ac:dyDescent="0.25">
      <c r="A7" s="2">
        <v>46044</v>
      </c>
      <c r="B7" t="s">
        <v>268</v>
      </c>
      <c r="C7">
        <v>5.5</v>
      </c>
      <c r="D7">
        <v>11000</v>
      </c>
      <c r="E7">
        <v>60500</v>
      </c>
      <c r="F7" t="s">
        <v>264</v>
      </c>
    </row>
    <row r="8" spans="1:6" x14ac:dyDescent="0.25">
      <c r="A8" s="2">
        <v>46044</v>
      </c>
      <c r="B8" t="s">
        <v>263</v>
      </c>
      <c r="C8">
        <v>32.799999999999997</v>
      </c>
      <c r="D8">
        <v>9000</v>
      </c>
      <c r="E8">
        <v>295200</v>
      </c>
      <c r="F8" t="s">
        <v>264</v>
      </c>
    </row>
    <row r="9" spans="1:6" x14ac:dyDescent="0.25">
      <c r="A9" s="2">
        <v>46045</v>
      </c>
      <c r="B9" t="s">
        <v>265</v>
      </c>
      <c r="C9">
        <v>10</v>
      </c>
      <c r="D9">
        <v>10000</v>
      </c>
      <c r="E9">
        <v>100000</v>
      </c>
      <c r="F9" t="s">
        <v>264</v>
      </c>
    </row>
    <row r="10" spans="1:6" x14ac:dyDescent="0.25">
      <c r="A10" s="2">
        <v>46047</v>
      </c>
      <c r="B10" t="s">
        <v>263</v>
      </c>
      <c r="C10">
        <v>83.4</v>
      </c>
      <c r="D10">
        <v>9000</v>
      </c>
      <c r="E10">
        <v>750600</v>
      </c>
      <c r="F10" t="s">
        <v>264</v>
      </c>
    </row>
    <row r="11" spans="1:6" x14ac:dyDescent="0.25">
      <c r="A11" s="2">
        <v>46048</v>
      </c>
      <c r="B11" t="s">
        <v>265</v>
      </c>
      <c r="C11">
        <v>11.2</v>
      </c>
      <c r="D11">
        <v>10000</v>
      </c>
      <c r="E11">
        <v>112000</v>
      </c>
      <c r="F11" t="s">
        <v>264</v>
      </c>
    </row>
    <row r="12" spans="1:6" x14ac:dyDescent="0.25">
      <c r="A12" s="2">
        <v>46050</v>
      </c>
      <c r="B12" t="s">
        <v>263</v>
      </c>
      <c r="C12">
        <v>92.4</v>
      </c>
      <c r="D12">
        <v>9000</v>
      </c>
      <c r="E12">
        <v>831600</v>
      </c>
      <c r="F12" t="s">
        <v>264</v>
      </c>
    </row>
    <row r="13" spans="1:6" x14ac:dyDescent="0.25">
      <c r="A13" s="2">
        <v>46053</v>
      </c>
      <c r="B13" t="s">
        <v>263</v>
      </c>
      <c r="C13">
        <v>73.8</v>
      </c>
      <c r="D13">
        <v>9000</v>
      </c>
      <c r="E13">
        <v>664200</v>
      </c>
      <c r="F13" t="s">
        <v>264</v>
      </c>
    </row>
    <row r="14" spans="1:6" x14ac:dyDescent="0.25">
      <c r="A14" s="2">
        <v>46055</v>
      </c>
      <c r="B14" t="s">
        <v>263</v>
      </c>
      <c r="C14">
        <v>57.8</v>
      </c>
      <c r="D14">
        <v>10000</v>
      </c>
      <c r="E14">
        <v>578000</v>
      </c>
      <c r="F14" t="s">
        <v>264</v>
      </c>
    </row>
    <row r="15" spans="1:6" x14ac:dyDescent="0.25">
      <c r="A15" s="2">
        <v>46055</v>
      </c>
      <c r="B15" t="s">
        <v>265</v>
      </c>
      <c r="C15">
        <v>11</v>
      </c>
      <c r="D15">
        <v>10000</v>
      </c>
      <c r="E15">
        <v>110000</v>
      </c>
      <c r="F15" t="s">
        <v>264</v>
      </c>
    </row>
    <row r="16" spans="1:6" x14ac:dyDescent="0.25">
      <c r="A16" s="2">
        <v>46056</v>
      </c>
      <c r="B16" t="s">
        <v>263</v>
      </c>
      <c r="C16">
        <v>82</v>
      </c>
      <c r="D16">
        <v>10000</v>
      </c>
      <c r="E16">
        <v>820000</v>
      </c>
      <c r="F16" t="s">
        <v>264</v>
      </c>
    </row>
    <row r="17" spans="1:6" x14ac:dyDescent="0.25">
      <c r="A17" s="2">
        <v>46058</v>
      </c>
      <c r="B17" t="s">
        <v>265</v>
      </c>
      <c r="C17">
        <v>11.7</v>
      </c>
      <c r="D17">
        <v>10000</v>
      </c>
      <c r="E17">
        <v>117000</v>
      </c>
      <c r="F17" t="s">
        <v>264</v>
      </c>
    </row>
    <row r="18" spans="1:6" x14ac:dyDescent="0.25">
      <c r="A18" s="2">
        <v>46059</v>
      </c>
      <c r="B18" t="s">
        <v>269</v>
      </c>
      <c r="C18">
        <v>4</v>
      </c>
      <c r="D18">
        <v>11000</v>
      </c>
      <c r="E18">
        <v>44000</v>
      </c>
      <c r="F18" t="s">
        <v>264</v>
      </c>
    </row>
    <row r="19" spans="1:6" x14ac:dyDescent="0.25">
      <c r="A19" s="2">
        <v>46059</v>
      </c>
      <c r="B19" t="s">
        <v>270</v>
      </c>
      <c r="C19">
        <v>5</v>
      </c>
      <c r="D19">
        <v>11000</v>
      </c>
      <c r="E19">
        <v>55000</v>
      </c>
      <c r="F19" t="s">
        <v>264</v>
      </c>
    </row>
    <row r="20" spans="1:6" x14ac:dyDescent="0.25">
      <c r="A20" s="2">
        <v>46059</v>
      </c>
      <c r="B20" t="s">
        <v>263</v>
      </c>
      <c r="C20">
        <v>55.8</v>
      </c>
      <c r="D20">
        <v>10000</v>
      </c>
      <c r="E20">
        <v>558000</v>
      </c>
      <c r="F20" t="s">
        <v>264</v>
      </c>
    </row>
    <row r="21" spans="1:6" x14ac:dyDescent="0.25">
      <c r="A21" s="2">
        <v>46060</v>
      </c>
      <c r="B21" t="s">
        <v>265</v>
      </c>
      <c r="C21">
        <v>12.8</v>
      </c>
      <c r="D21">
        <v>10000</v>
      </c>
      <c r="E21">
        <v>128000</v>
      </c>
      <c r="F21" t="s">
        <v>264</v>
      </c>
    </row>
    <row r="22" spans="1:6" x14ac:dyDescent="0.25">
      <c r="A22" s="2">
        <v>46060</v>
      </c>
      <c r="B22" t="s">
        <v>263</v>
      </c>
      <c r="C22">
        <v>66.599999999999994</v>
      </c>
      <c r="D22">
        <v>10000</v>
      </c>
      <c r="E22">
        <v>666000</v>
      </c>
      <c r="F22" t="s">
        <v>264</v>
      </c>
    </row>
    <row r="23" spans="1:6" x14ac:dyDescent="0.25">
      <c r="A23" s="2">
        <v>46061</v>
      </c>
      <c r="B23" t="s">
        <v>263</v>
      </c>
      <c r="C23">
        <v>18</v>
      </c>
      <c r="D23">
        <v>10000</v>
      </c>
      <c r="E23">
        <v>180000</v>
      </c>
      <c r="F23" t="s">
        <v>264</v>
      </c>
    </row>
    <row r="24" spans="1:6" x14ac:dyDescent="0.25">
      <c r="A24" s="2">
        <v>46062</v>
      </c>
      <c r="B24" t="s">
        <v>263</v>
      </c>
      <c r="C24">
        <v>54.4</v>
      </c>
      <c r="D24">
        <v>10000</v>
      </c>
      <c r="E24">
        <v>544000</v>
      </c>
      <c r="F24" t="s">
        <v>264</v>
      </c>
    </row>
    <row r="25" spans="1:6" x14ac:dyDescent="0.25">
      <c r="A25" s="2">
        <v>46064</v>
      </c>
      <c r="B25" t="s">
        <v>263</v>
      </c>
      <c r="C25">
        <v>32</v>
      </c>
      <c r="D25">
        <v>10000</v>
      </c>
      <c r="E25">
        <v>320000</v>
      </c>
      <c r="F25" t="s">
        <v>264</v>
      </c>
    </row>
    <row r="26" spans="1:6" x14ac:dyDescent="0.25">
      <c r="A26" s="2">
        <v>46064</v>
      </c>
      <c r="B26" t="s">
        <v>263</v>
      </c>
      <c r="C26">
        <v>8.8000000000000007</v>
      </c>
      <c r="D26">
        <v>10000</v>
      </c>
      <c r="E26">
        <v>88000</v>
      </c>
      <c r="F26" t="s">
        <v>264</v>
      </c>
    </row>
    <row r="27" spans="1:6" x14ac:dyDescent="0.25">
      <c r="A27" s="2">
        <v>46064</v>
      </c>
      <c r="B27" t="s">
        <v>271</v>
      </c>
      <c r="C27">
        <v>13.8</v>
      </c>
      <c r="D27">
        <v>10000</v>
      </c>
      <c r="E27">
        <v>138000</v>
      </c>
      <c r="F27" t="s">
        <v>264</v>
      </c>
    </row>
    <row r="28" spans="1:6" x14ac:dyDescent="0.25">
      <c r="A28" s="2">
        <v>46064</v>
      </c>
      <c r="B28" t="s">
        <v>272</v>
      </c>
      <c r="C28">
        <v>19.7</v>
      </c>
      <c r="D28">
        <v>10000</v>
      </c>
      <c r="E28">
        <v>197000</v>
      </c>
      <c r="F28" t="s">
        <v>264</v>
      </c>
    </row>
    <row r="29" spans="1:6" x14ac:dyDescent="0.25">
      <c r="A29" s="2">
        <v>46066</v>
      </c>
      <c r="B29" t="s">
        <v>263</v>
      </c>
      <c r="C29">
        <v>16</v>
      </c>
      <c r="D29">
        <v>10000</v>
      </c>
      <c r="E29">
        <v>160000</v>
      </c>
    </row>
    <row r="30" spans="1:6" x14ac:dyDescent="0.25">
      <c r="A30" s="2">
        <v>46066</v>
      </c>
      <c r="B30" t="s">
        <v>263</v>
      </c>
      <c r="C30">
        <v>70.3</v>
      </c>
      <c r="D30">
        <v>10000</v>
      </c>
      <c r="E30">
        <v>703000</v>
      </c>
    </row>
    <row r="31" spans="1:6" x14ac:dyDescent="0.25">
      <c r="A31" s="2">
        <v>46067</v>
      </c>
      <c r="B31" t="s">
        <v>271</v>
      </c>
      <c r="C31">
        <v>24.4</v>
      </c>
      <c r="D31">
        <v>10000</v>
      </c>
      <c r="E31">
        <v>244000</v>
      </c>
    </row>
    <row r="32" spans="1:6" x14ac:dyDescent="0.25">
      <c r="A32" s="2">
        <v>46068</v>
      </c>
      <c r="B32" t="s">
        <v>263</v>
      </c>
    </row>
    <row r="33" spans="1:2" x14ac:dyDescent="0.25">
      <c r="A33" s="2">
        <v>46069</v>
      </c>
      <c r="B33" t="s">
        <v>263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9"/>
  <sheetViews>
    <sheetView workbookViewId="0"/>
  </sheetViews>
  <sheetFormatPr baseColWidth="10" defaultColWidth="9.140625" defaultRowHeight="15" x14ac:dyDescent="0.25"/>
  <sheetData>
    <row r="1" spans="1:3" x14ac:dyDescent="0.25">
      <c r="A1" s="1" t="s">
        <v>273</v>
      </c>
      <c r="B1" s="1" t="s">
        <v>274</v>
      </c>
      <c r="C1" s="1" t="s">
        <v>158</v>
      </c>
    </row>
    <row r="2" spans="1:3" x14ac:dyDescent="0.25">
      <c r="A2" t="s">
        <v>275</v>
      </c>
      <c r="B2">
        <v>6500000</v>
      </c>
    </row>
    <row r="3" spans="1:3" x14ac:dyDescent="0.25">
      <c r="A3" t="s">
        <v>276</v>
      </c>
      <c r="B3">
        <v>2000000</v>
      </c>
    </row>
    <row r="4" spans="1:3" x14ac:dyDescent="0.25">
      <c r="A4" t="s">
        <v>277</v>
      </c>
      <c r="B4">
        <v>320000</v>
      </c>
    </row>
    <row r="5" spans="1:3" x14ac:dyDescent="0.25">
      <c r="A5" t="s">
        <v>278</v>
      </c>
      <c r="B5">
        <v>1500000</v>
      </c>
    </row>
    <row r="6" spans="1:3" x14ac:dyDescent="0.25">
      <c r="A6" t="s">
        <v>279</v>
      </c>
      <c r="B6">
        <v>2000000</v>
      </c>
    </row>
    <row r="7" spans="1:3" x14ac:dyDescent="0.25">
      <c r="A7" t="s">
        <v>280</v>
      </c>
      <c r="B7">
        <v>2000000</v>
      </c>
    </row>
    <row r="8" spans="1:3" x14ac:dyDescent="0.25">
      <c r="A8" t="s">
        <v>281</v>
      </c>
      <c r="B8">
        <v>150000</v>
      </c>
    </row>
    <row r="9" spans="1:3" x14ac:dyDescent="0.25">
      <c r="A9" t="s">
        <v>282</v>
      </c>
      <c r="B9">
        <v>300000</v>
      </c>
    </row>
    <row r="10" spans="1:3" x14ac:dyDescent="0.25">
      <c r="A10" t="s">
        <v>283</v>
      </c>
      <c r="B10">
        <v>1500000</v>
      </c>
    </row>
    <row r="11" spans="1:3" x14ac:dyDescent="0.25">
      <c r="A11" t="s">
        <v>284</v>
      </c>
      <c r="B11">
        <v>1500000</v>
      </c>
    </row>
    <row r="12" spans="1:3" x14ac:dyDescent="0.25">
      <c r="A12" t="s">
        <v>285</v>
      </c>
      <c r="B12">
        <v>500000</v>
      </c>
    </row>
    <row r="13" spans="1:3" x14ac:dyDescent="0.25">
      <c r="A13" t="s">
        <v>286</v>
      </c>
      <c r="B13">
        <v>250000</v>
      </c>
    </row>
    <row r="14" spans="1:3" x14ac:dyDescent="0.25">
      <c r="A14" t="s">
        <v>287</v>
      </c>
      <c r="B14">
        <v>134000</v>
      </c>
    </row>
    <row r="15" spans="1:3" x14ac:dyDescent="0.25">
      <c r="A15" t="s">
        <v>288</v>
      </c>
      <c r="B15">
        <v>7260000</v>
      </c>
    </row>
    <row r="16" spans="1:3" x14ac:dyDescent="0.25">
      <c r="A16" t="s">
        <v>289</v>
      </c>
      <c r="B16">
        <v>1000000</v>
      </c>
    </row>
    <row r="17" spans="1:3" x14ac:dyDescent="0.25">
      <c r="A17" t="s">
        <v>290</v>
      </c>
      <c r="B17">
        <v>3000000</v>
      </c>
      <c r="C17" t="s">
        <v>291</v>
      </c>
    </row>
    <row r="18" spans="1:3" x14ac:dyDescent="0.25">
      <c r="A18" t="s">
        <v>292</v>
      </c>
      <c r="B18">
        <v>240000</v>
      </c>
    </row>
    <row r="19" spans="1:3" x14ac:dyDescent="0.25">
      <c r="A19" t="s">
        <v>293</v>
      </c>
      <c r="B19">
        <v>250000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workbookViewId="0"/>
  </sheetViews>
  <sheetFormatPr baseColWidth="10" defaultColWidth="9.140625" defaultRowHeight="15" x14ac:dyDescent="0.25"/>
  <sheetData>
    <row r="1" spans="1:2" x14ac:dyDescent="0.25">
      <c r="A1" s="1" t="s">
        <v>294</v>
      </c>
      <c r="B1" s="1" t="s">
        <v>295</v>
      </c>
    </row>
    <row r="2" spans="1:2" x14ac:dyDescent="0.25">
      <c r="A2" t="s">
        <v>296</v>
      </c>
      <c r="B2">
        <v>8374000</v>
      </c>
    </row>
    <row r="3" spans="1:2" x14ac:dyDescent="0.25">
      <c r="A3" t="s">
        <v>297</v>
      </c>
      <c r="B3">
        <v>476000</v>
      </c>
    </row>
    <row r="4" spans="1:2" x14ac:dyDescent="0.25">
      <c r="A4" t="s">
        <v>298</v>
      </c>
      <c r="B4">
        <v>9746900</v>
      </c>
    </row>
    <row r="5" spans="1:2" x14ac:dyDescent="0.25">
      <c r="A5" t="s">
        <v>299</v>
      </c>
      <c r="B5">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1"/>
  <sheetViews>
    <sheetView topLeftCell="A7" workbookViewId="0">
      <selection activeCell="A2" sqref="A2"/>
    </sheetView>
  </sheetViews>
  <sheetFormatPr baseColWidth="10" defaultColWidth="9.140625" defaultRowHeight="15" x14ac:dyDescent="0.25"/>
  <cols>
    <col min="3" max="3" width="10.5703125" bestFit="1" customWidth="1"/>
    <col min="4" max="4" width="28.5703125" bestFit="1" customWidth="1"/>
    <col min="5" max="5" width="13.42578125" bestFit="1" customWidth="1"/>
  </cols>
  <sheetData>
    <row r="1" spans="1:7" x14ac:dyDescent="0.25">
      <c r="A1" s="1" t="s">
        <v>153</v>
      </c>
      <c r="B1" s="1" t="s">
        <v>2</v>
      </c>
      <c r="C1" s="1" t="s">
        <v>151</v>
      </c>
      <c r="D1" s="1" t="s">
        <v>152</v>
      </c>
      <c r="E1" s="1" t="s">
        <v>300</v>
      </c>
      <c r="F1" s="1" t="s">
        <v>301</v>
      </c>
      <c r="G1" s="1" t="s">
        <v>302</v>
      </c>
    </row>
    <row r="2" spans="1:7" x14ac:dyDescent="0.25">
      <c r="B2">
        <v>6</v>
      </c>
      <c r="C2" t="s">
        <v>11</v>
      </c>
      <c r="D2" t="s">
        <v>12</v>
      </c>
      <c r="E2">
        <v>4</v>
      </c>
    </row>
    <row r="3" spans="1:7" x14ac:dyDescent="0.25">
      <c r="B3">
        <v>10</v>
      </c>
      <c r="C3" t="s">
        <v>11</v>
      </c>
      <c r="D3" t="s">
        <v>18</v>
      </c>
    </row>
    <row r="4" spans="1:7" x14ac:dyDescent="0.25">
      <c r="B4">
        <v>16</v>
      </c>
      <c r="C4" t="s">
        <v>11</v>
      </c>
      <c r="D4" t="s">
        <v>22</v>
      </c>
    </row>
    <row r="5" spans="1:7" x14ac:dyDescent="0.25">
      <c r="B5">
        <v>403</v>
      </c>
      <c r="C5" t="s">
        <v>11</v>
      </c>
      <c r="D5" t="s">
        <v>28</v>
      </c>
    </row>
    <row r="6" spans="1:7" x14ac:dyDescent="0.25">
      <c r="B6">
        <v>11</v>
      </c>
      <c r="C6" t="s">
        <v>11</v>
      </c>
      <c r="D6" t="s">
        <v>31</v>
      </c>
    </row>
    <row r="7" spans="1:7" x14ac:dyDescent="0.25">
      <c r="B7">
        <v>21</v>
      </c>
      <c r="C7" t="s">
        <v>11</v>
      </c>
      <c r="D7">
        <v>21</v>
      </c>
    </row>
    <row r="8" spans="1:7" x14ac:dyDescent="0.25">
      <c r="C8" t="s">
        <v>11</v>
      </c>
      <c r="D8" t="s">
        <v>38</v>
      </c>
    </row>
    <row r="9" spans="1:7" x14ac:dyDescent="0.25">
      <c r="B9">
        <v>47</v>
      </c>
      <c r="C9" t="s">
        <v>11</v>
      </c>
      <c r="D9" t="s">
        <v>41</v>
      </c>
    </row>
    <row r="10" spans="1:7" x14ac:dyDescent="0.25">
      <c r="C10" t="s">
        <v>11</v>
      </c>
      <c r="D10" t="s">
        <v>43</v>
      </c>
    </row>
    <row r="11" spans="1:7" x14ac:dyDescent="0.25">
      <c r="C11" t="s">
        <v>11</v>
      </c>
      <c r="D11" t="s">
        <v>47</v>
      </c>
    </row>
    <row r="12" spans="1:7" x14ac:dyDescent="0.25">
      <c r="B12">
        <v>53</v>
      </c>
      <c r="C12" t="s">
        <v>11</v>
      </c>
      <c r="D12">
        <v>53</v>
      </c>
    </row>
    <row r="13" spans="1:7" x14ac:dyDescent="0.25">
      <c r="C13" t="s">
        <v>11</v>
      </c>
      <c r="D13" t="s">
        <v>52</v>
      </c>
    </row>
    <row r="14" spans="1:7" x14ac:dyDescent="0.25">
      <c r="C14" t="s">
        <v>11</v>
      </c>
      <c r="D14" t="s">
        <v>54</v>
      </c>
    </row>
    <row r="15" spans="1:7" x14ac:dyDescent="0.25">
      <c r="B15">
        <v>45</v>
      </c>
      <c r="C15" t="s">
        <v>11</v>
      </c>
      <c r="D15" t="s">
        <v>55</v>
      </c>
    </row>
    <row r="16" spans="1:7" x14ac:dyDescent="0.25">
      <c r="B16">
        <v>38</v>
      </c>
      <c r="C16" t="s">
        <v>11</v>
      </c>
      <c r="D16">
        <v>38</v>
      </c>
    </row>
    <row r="17" spans="2:4" x14ac:dyDescent="0.25">
      <c r="B17">
        <v>186</v>
      </c>
      <c r="C17" t="s">
        <v>11</v>
      </c>
      <c r="D17" t="s">
        <v>56</v>
      </c>
    </row>
    <row r="18" spans="2:4" x14ac:dyDescent="0.25">
      <c r="C18" t="s">
        <v>11</v>
      </c>
      <c r="D18" t="s">
        <v>57</v>
      </c>
    </row>
    <row r="19" spans="2:4" x14ac:dyDescent="0.25">
      <c r="B19">
        <v>52</v>
      </c>
      <c r="C19" t="s">
        <v>11</v>
      </c>
      <c r="D19" t="s">
        <v>58</v>
      </c>
    </row>
    <row r="20" spans="2:4" x14ac:dyDescent="0.25">
      <c r="C20" t="s">
        <v>11</v>
      </c>
      <c r="D20" t="s">
        <v>60</v>
      </c>
    </row>
    <row r="21" spans="2:4" x14ac:dyDescent="0.25">
      <c r="B21">
        <v>78</v>
      </c>
      <c r="C21" t="s">
        <v>11</v>
      </c>
      <c r="D21">
        <v>78</v>
      </c>
    </row>
    <row r="22" spans="2:4" x14ac:dyDescent="0.25">
      <c r="B22">
        <v>1317</v>
      </c>
      <c r="C22" t="s">
        <v>11</v>
      </c>
      <c r="D22" t="s">
        <v>62</v>
      </c>
    </row>
    <row r="23" spans="2:4" x14ac:dyDescent="0.25">
      <c r="C23" t="s">
        <v>11</v>
      </c>
      <c r="D23" t="s">
        <v>63</v>
      </c>
    </row>
    <row r="24" spans="2:4" x14ac:dyDescent="0.25">
      <c r="B24">
        <v>1152</v>
      </c>
      <c r="C24" t="s">
        <v>11</v>
      </c>
      <c r="D24">
        <v>1152</v>
      </c>
    </row>
    <row r="25" spans="2:4" x14ac:dyDescent="0.25">
      <c r="B25">
        <v>818</v>
      </c>
      <c r="C25" t="s">
        <v>11</v>
      </c>
      <c r="D25" t="s">
        <v>64</v>
      </c>
    </row>
    <row r="26" spans="2:4" x14ac:dyDescent="0.25">
      <c r="B26">
        <v>4</v>
      </c>
      <c r="C26" t="s">
        <v>65</v>
      </c>
      <c r="D26" t="s">
        <v>66</v>
      </c>
    </row>
    <row r="27" spans="2:4" x14ac:dyDescent="0.25">
      <c r="B27">
        <v>3</v>
      </c>
      <c r="C27" t="s">
        <v>65</v>
      </c>
      <c r="D27" t="s">
        <v>70</v>
      </c>
    </row>
    <row r="28" spans="2:4" x14ac:dyDescent="0.25">
      <c r="B28">
        <v>22</v>
      </c>
      <c r="C28" t="s">
        <v>65</v>
      </c>
      <c r="D28" t="s">
        <v>74</v>
      </c>
    </row>
    <row r="29" spans="2:4" x14ac:dyDescent="0.25">
      <c r="B29">
        <v>14</v>
      </c>
      <c r="C29" t="s">
        <v>65</v>
      </c>
      <c r="D29" t="s">
        <v>77</v>
      </c>
    </row>
    <row r="30" spans="2:4" x14ac:dyDescent="0.25">
      <c r="B30">
        <v>1</v>
      </c>
      <c r="C30" t="s">
        <v>65</v>
      </c>
      <c r="D30" t="s">
        <v>81</v>
      </c>
    </row>
    <row r="31" spans="2:4" x14ac:dyDescent="0.25">
      <c r="B31">
        <v>320</v>
      </c>
      <c r="C31" t="s">
        <v>65</v>
      </c>
      <c r="D31" t="s">
        <v>83</v>
      </c>
    </row>
    <row r="32" spans="2:4" x14ac:dyDescent="0.25">
      <c r="B32">
        <v>348</v>
      </c>
      <c r="C32" t="s">
        <v>65</v>
      </c>
      <c r="D32" t="s">
        <v>85</v>
      </c>
    </row>
    <row r="33" spans="2:4" x14ac:dyDescent="0.25">
      <c r="B33">
        <v>330</v>
      </c>
      <c r="C33" t="s">
        <v>65</v>
      </c>
      <c r="D33" t="s">
        <v>88</v>
      </c>
    </row>
    <row r="34" spans="2:4" x14ac:dyDescent="0.25">
      <c r="B34">
        <v>327</v>
      </c>
      <c r="C34" t="s">
        <v>65</v>
      </c>
      <c r="D34" t="s">
        <v>89</v>
      </c>
    </row>
    <row r="35" spans="2:4" x14ac:dyDescent="0.25">
      <c r="B35">
        <v>347</v>
      </c>
      <c r="C35" t="s">
        <v>65</v>
      </c>
      <c r="D35" t="s">
        <v>90</v>
      </c>
    </row>
    <row r="36" spans="2:4" x14ac:dyDescent="0.25">
      <c r="B36">
        <v>328</v>
      </c>
      <c r="C36" t="s">
        <v>65</v>
      </c>
      <c r="D36" t="s">
        <v>91</v>
      </c>
    </row>
    <row r="37" spans="2:4" x14ac:dyDescent="0.25">
      <c r="B37">
        <v>350</v>
      </c>
      <c r="C37" t="s">
        <v>65</v>
      </c>
      <c r="D37" t="s">
        <v>92</v>
      </c>
    </row>
    <row r="38" spans="2:4" x14ac:dyDescent="0.25">
      <c r="B38">
        <v>345</v>
      </c>
      <c r="C38" t="s">
        <v>65</v>
      </c>
      <c r="D38" t="s">
        <v>93</v>
      </c>
    </row>
    <row r="39" spans="2:4" x14ac:dyDescent="0.25">
      <c r="B39">
        <v>18</v>
      </c>
      <c r="C39" t="s">
        <v>65</v>
      </c>
      <c r="D39" t="s">
        <v>94</v>
      </c>
    </row>
    <row r="40" spans="2:4" x14ac:dyDescent="0.25">
      <c r="B40">
        <v>1751</v>
      </c>
      <c r="C40" t="s">
        <v>65</v>
      </c>
      <c r="D40">
        <v>1751</v>
      </c>
    </row>
    <row r="41" spans="2:4" x14ac:dyDescent="0.25">
      <c r="B41">
        <v>42</v>
      </c>
      <c r="C41" t="s">
        <v>65</v>
      </c>
      <c r="D41" t="s">
        <v>99</v>
      </c>
    </row>
    <row r="42" spans="2:4" x14ac:dyDescent="0.25">
      <c r="B42">
        <v>1557</v>
      </c>
      <c r="C42" t="s">
        <v>65</v>
      </c>
      <c r="D42" t="s">
        <v>101</v>
      </c>
    </row>
    <row r="43" spans="2:4" x14ac:dyDescent="0.25">
      <c r="B43">
        <v>29</v>
      </c>
      <c r="C43" t="s">
        <v>65</v>
      </c>
      <c r="D43" t="s">
        <v>102</v>
      </c>
    </row>
    <row r="44" spans="2:4" x14ac:dyDescent="0.25">
      <c r="B44">
        <v>1731</v>
      </c>
      <c r="C44" t="s">
        <v>65</v>
      </c>
      <c r="D44" t="s">
        <v>103</v>
      </c>
    </row>
    <row r="45" spans="2:4" x14ac:dyDescent="0.25">
      <c r="B45">
        <v>31</v>
      </c>
      <c r="C45" t="s">
        <v>65</v>
      </c>
      <c r="D45" t="s">
        <v>104</v>
      </c>
    </row>
    <row r="46" spans="2:4" x14ac:dyDescent="0.25">
      <c r="B46">
        <v>1697</v>
      </c>
      <c r="C46" t="s">
        <v>65</v>
      </c>
      <c r="D46" t="s">
        <v>105</v>
      </c>
    </row>
    <row r="47" spans="2:4" x14ac:dyDescent="0.25">
      <c r="B47">
        <v>33</v>
      </c>
      <c r="C47" t="s">
        <v>65</v>
      </c>
      <c r="D47" t="s">
        <v>106</v>
      </c>
    </row>
    <row r="48" spans="2:4" x14ac:dyDescent="0.25">
      <c r="B48">
        <v>1799</v>
      </c>
      <c r="C48" t="s">
        <v>65</v>
      </c>
      <c r="D48" t="s">
        <v>108</v>
      </c>
    </row>
    <row r="49" spans="2:4" x14ac:dyDescent="0.25">
      <c r="B49">
        <v>35</v>
      </c>
      <c r="C49" t="s">
        <v>65</v>
      </c>
      <c r="D49" t="s">
        <v>109</v>
      </c>
    </row>
    <row r="50" spans="2:4" x14ac:dyDescent="0.25">
      <c r="B50">
        <v>504</v>
      </c>
      <c r="C50" t="s">
        <v>65</v>
      </c>
      <c r="D50" t="s">
        <v>110</v>
      </c>
    </row>
    <row r="51" spans="2:4" x14ac:dyDescent="0.25">
      <c r="B51">
        <v>44</v>
      </c>
      <c r="C51" t="s">
        <v>65</v>
      </c>
      <c r="D51" t="s">
        <v>114</v>
      </c>
    </row>
    <row r="52" spans="2:4" x14ac:dyDescent="0.25">
      <c r="B52">
        <v>1479</v>
      </c>
      <c r="C52" t="s">
        <v>65</v>
      </c>
      <c r="D52" t="s">
        <v>115</v>
      </c>
    </row>
    <row r="53" spans="2:4" x14ac:dyDescent="0.25">
      <c r="B53">
        <v>46</v>
      </c>
      <c r="C53" t="s">
        <v>65</v>
      </c>
      <c r="D53" t="s">
        <v>116</v>
      </c>
    </row>
    <row r="54" spans="2:4" x14ac:dyDescent="0.25">
      <c r="B54" t="s">
        <v>117</v>
      </c>
      <c r="C54" t="s">
        <v>65</v>
      </c>
      <c r="D54" t="s">
        <v>117</v>
      </c>
    </row>
    <row r="55" spans="2:4" x14ac:dyDescent="0.25">
      <c r="B55">
        <v>1726</v>
      </c>
      <c r="C55" t="s">
        <v>65</v>
      </c>
      <c r="D55">
        <v>1726</v>
      </c>
    </row>
    <row r="56" spans="2:4" x14ac:dyDescent="0.25">
      <c r="B56">
        <v>1810</v>
      </c>
      <c r="C56" t="s">
        <v>65</v>
      </c>
      <c r="D56" t="s">
        <v>118</v>
      </c>
    </row>
    <row r="57" spans="2:4" x14ac:dyDescent="0.25">
      <c r="B57">
        <v>127</v>
      </c>
      <c r="C57" t="s">
        <v>65</v>
      </c>
      <c r="D57">
        <v>127</v>
      </c>
    </row>
    <row r="58" spans="2:4" x14ac:dyDescent="0.25">
      <c r="B58">
        <v>49</v>
      </c>
      <c r="C58" t="s">
        <v>65</v>
      </c>
      <c r="D58">
        <v>49</v>
      </c>
    </row>
    <row r="59" spans="2:4" x14ac:dyDescent="0.25">
      <c r="B59">
        <v>57</v>
      </c>
      <c r="C59" t="s">
        <v>65</v>
      </c>
      <c r="D59">
        <v>57</v>
      </c>
    </row>
    <row r="60" spans="2:4" x14ac:dyDescent="0.25">
      <c r="B60">
        <v>294</v>
      </c>
      <c r="C60" t="s">
        <v>65</v>
      </c>
      <c r="D60" t="s">
        <v>120</v>
      </c>
    </row>
    <row r="61" spans="2:4" x14ac:dyDescent="0.25">
      <c r="B61">
        <v>310</v>
      </c>
      <c r="C61" t="s">
        <v>65</v>
      </c>
      <c r="D61" t="s">
        <v>121</v>
      </c>
    </row>
  </sheetData>
  <conditionalFormatting sqref="G2:G1000">
    <cfRule type="cellIs" dxfId="5" priority="1" operator="lessThan">
      <formula>4</formula>
    </cfRule>
    <cfRule type="cellIs" dxfId="4" priority="2" operator="between">
      <formula>4</formula>
      <formula>7</formula>
    </cfRule>
    <cfRule type="cellIs" dxfId="3" priority="3" operator="greaterThan">
      <formula>10</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1"/>
  <sheetViews>
    <sheetView workbookViewId="0"/>
  </sheetViews>
  <sheetFormatPr baseColWidth="10" defaultColWidth="9.140625" defaultRowHeight="15" x14ac:dyDescent="0.25"/>
  <sheetData>
    <row r="1" spans="1:5" x14ac:dyDescent="0.25">
      <c r="A1" s="1" t="s">
        <v>0</v>
      </c>
      <c r="B1" s="1" t="s">
        <v>1</v>
      </c>
      <c r="C1" s="1" t="s">
        <v>2</v>
      </c>
      <c r="D1" s="1" t="s">
        <v>7</v>
      </c>
      <c r="E1" s="1" t="s">
        <v>8</v>
      </c>
    </row>
    <row r="2" spans="1:5" x14ac:dyDescent="0.25">
      <c r="A2" t="s">
        <v>11</v>
      </c>
      <c r="B2" t="s">
        <v>12</v>
      </c>
      <c r="C2">
        <v>6</v>
      </c>
      <c r="D2" t="s">
        <v>16</v>
      </c>
      <c r="E2" t="s">
        <v>17</v>
      </c>
    </row>
    <row r="3" spans="1:5" x14ac:dyDescent="0.25">
      <c r="A3" t="s">
        <v>11</v>
      </c>
      <c r="B3" t="s">
        <v>18</v>
      </c>
      <c r="C3">
        <v>10</v>
      </c>
      <c r="D3" t="s">
        <v>21</v>
      </c>
      <c r="E3" t="s">
        <v>17</v>
      </c>
    </row>
    <row r="4" spans="1:5" x14ac:dyDescent="0.25">
      <c r="A4" t="s">
        <v>11</v>
      </c>
      <c r="B4" t="s">
        <v>22</v>
      </c>
      <c r="C4">
        <v>16</v>
      </c>
      <c r="D4" t="s">
        <v>26</v>
      </c>
      <c r="E4" s="2">
        <v>43313</v>
      </c>
    </row>
    <row r="5" spans="1:5" x14ac:dyDescent="0.25">
      <c r="A5" t="s">
        <v>11</v>
      </c>
      <c r="B5" t="s">
        <v>28</v>
      </c>
      <c r="C5">
        <v>403</v>
      </c>
      <c r="D5" t="s">
        <v>30</v>
      </c>
    </row>
    <row r="6" spans="1:5" x14ac:dyDescent="0.25">
      <c r="A6" t="s">
        <v>11</v>
      </c>
      <c r="B6">
        <v>21</v>
      </c>
      <c r="C6">
        <v>21</v>
      </c>
      <c r="D6" t="s">
        <v>30</v>
      </c>
    </row>
    <row r="7" spans="1:5" x14ac:dyDescent="0.25">
      <c r="A7" t="s">
        <v>11</v>
      </c>
      <c r="B7" t="s">
        <v>41</v>
      </c>
      <c r="C7">
        <v>47</v>
      </c>
      <c r="D7" t="s">
        <v>30</v>
      </c>
    </row>
    <row r="8" spans="1:5" x14ac:dyDescent="0.25">
      <c r="A8" t="s">
        <v>11</v>
      </c>
      <c r="B8">
        <v>53</v>
      </c>
      <c r="C8">
        <v>53</v>
      </c>
      <c r="D8" t="s">
        <v>30</v>
      </c>
    </row>
    <row r="9" spans="1:5" x14ac:dyDescent="0.25">
      <c r="A9" t="s">
        <v>11</v>
      </c>
      <c r="B9" t="s">
        <v>52</v>
      </c>
      <c r="D9" t="s">
        <v>35</v>
      </c>
      <c r="E9" s="2">
        <v>46057</v>
      </c>
    </row>
    <row r="10" spans="1:5" x14ac:dyDescent="0.25">
      <c r="A10" t="s">
        <v>11</v>
      </c>
      <c r="B10" t="s">
        <v>54</v>
      </c>
      <c r="D10" t="s">
        <v>30</v>
      </c>
    </row>
    <row r="11" spans="1:5" x14ac:dyDescent="0.25">
      <c r="A11" t="s">
        <v>11</v>
      </c>
      <c r="B11" t="s">
        <v>55</v>
      </c>
      <c r="C11">
        <v>45</v>
      </c>
      <c r="D11" t="s">
        <v>35</v>
      </c>
      <c r="E11" s="2">
        <v>46036</v>
      </c>
    </row>
    <row r="12" spans="1:5" x14ac:dyDescent="0.25">
      <c r="A12" t="s">
        <v>11</v>
      </c>
      <c r="B12">
        <v>38</v>
      </c>
      <c r="C12">
        <v>38</v>
      </c>
      <c r="D12" t="s">
        <v>30</v>
      </c>
    </row>
    <row r="13" spans="1:5" x14ac:dyDescent="0.25">
      <c r="A13" t="s">
        <v>11</v>
      </c>
      <c r="B13" t="s">
        <v>56</v>
      </c>
      <c r="C13">
        <v>186</v>
      </c>
      <c r="D13" t="s">
        <v>30</v>
      </c>
    </row>
    <row r="14" spans="1:5" x14ac:dyDescent="0.25">
      <c r="A14" t="s">
        <v>11</v>
      </c>
      <c r="B14" t="s">
        <v>58</v>
      </c>
      <c r="C14">
        <v>52</v>
      </c>
      <c r="D14" t="s">
        <v>30</v>
      </c>
    </row>
    <row r="15" spans="1:5" x14ac:dyDescent="0.25">
      <c r="A15" t="s">
        <v>11</v>
      </c>
      <c r="B15" t="s">
        <v>60</v>
      </c>
      <c r="D15" t="s">
        <v>35</v>
      </c>
      <c r="E15" s="2">
        <v>45998</v>
      </c>
    </row>
    <row r="16" spans="1:5" x14ac:dyDescent="0.25">
      <c r="A16" t="s">
        <v>11</v>
      </c>
      <c r="B16">
        <v>78</v>
      </c>
      <c r="C16">
        <v>78</v>
      </c>
      <c r="D16" t="s">
        <v>30</v>
      </c>
    </row>
    <row r="17" spans="1:5" x14ac:dyDescent="0.25">
      <c r="A17" t="s">
        <v>11</v>
      </c>
      <c r="B17" t="s">
        <v>62</v>
      </c>
      <c r="C17">
        <v>1317</v>
      </c>
      <c r="D17" t="s">
        <v>30</v>
      </c>
    </row>
    <row r="18" spans="1:5" x14ac:dyDescent="0.25">
      <c r="A18" t="s">
        <v>11</v>
      </c>
      <c r="B18" t="s">
        <v>63</v>
      </c>
      <c r="D18" t="s">
        <v>35</v>
      </c>
      <c r="E18" s="2">
        <v>46031</v>
      </c>
    </row>
    <row r="19" spans="1:5" x14ac:dyDescent="0.25">
      <c r="A19" t="s">
        <v>11</v>
      </c>
      <c r="B19">
        <v>1152</v>
      </c>
      <c r="C19">
        <v>1152</v>
      </c>
      <c r="D19" t="s">
        <v>30</v>
      </c>
    </row>
    <row r="20" spans="1:5" x14ac:dyDescent="0.25">
      <c r="A20" t="s">
        <v>11</v>
      </c>
      <c r="B20" t="s">
        <v>64</v>
      </c>
      <c r="C20">
        <v>818</v>
      </c>
      <c r="D20" t="s">
        <v>30</v>
      </c>
      <c r="E20" s="2">
        <v>45174</v>
      </c>
    </row>
    <row r="21" spans="1:5" x14ac:dyDescent="0.25">
      <c r="A21" t="s">
        <v>65</v>
      </c>
      <c r="B21" t="s">
        <v>66</v>
      </c>
      <c r="C21">
        <v>4</v>
      </c>
      <c r="D21" t="s">
        <v>68</v>
      </c>
      <c r="E21" t="s">
        <v>17</v>
      </c>
    </row>
    <row r="22" spans="1:5" x14ac:dyDescent="0.25">
      <c r="A22" t="s">
        <v>65</v>
      </c>
      <c r="B22" t="s">
        <v>74</v>
      </c>
      <c r="C22">
        <v>22</v>
      </c>
      <c r="D22" t="s">
        <v>75</v>
      </c>
      <c r="E22" s="2">
        <v>45905</v>
      </c>
    </row>
    <row r="23" spans="1:5" x14ac:dyDescent="0.25">
      <c r="A23" t="s">
        <v>65</v>
      </c>
      <c r="B23" t="s">
        <v>77</v>
      </c>
      <c r="C23">
        <v>14</v>
      </c>
      <c r="D23" t="s">
        <v>79</v>
      </c>
      <c r="E23" t="s">
        <v>17</v>
      </c>
    </row>
    <row r="24" spans="1:5" x14ac:dyDescent="0.25">
      <c r="A24" t="s">
        <v>65</v>
      </c>
      <c r="B24" t="s">
        <v>83</v>
      </c>
      <c r="C24">
        <v>320</v>
      </c>
      <c r="D24" t="s">
        <v>84</v>
      </c>
    </row>
    <row r="25" spans="1:5" x14ac:dyDescent="0.25">
      <c r="A25" t="s">
        <v>65</v>
      </c>
      <c r="B25" t="s">
        <v>85</v>
      </c>
      <c r="C25">
        <v>348</v>
      </c>
      <c r="D25" t="s">
        <v>87</v>
      </c>
      <c r="E25" s="2">
        <v>45307</v>
      </c>
    </row>
    <row r="26" spans="1:5" x14ac:dyDescent="0.25">
      <c r="A26" t="s">
        <v>65</v>
      </c>
      <c r="B26" t="s">
        <v>88</v>
      </c>
      <c r="C26">
        <v>330</v>
      </c>
      <c r="D26" t="s">
        <v>87</v>
      </c>
      <c r="E26" s="2">
        <v>45270</v>
      </c>
    </row>
    <row r="27" spans="1:5" x14ac:dyDescent="0.25">
      <c r="A27" t="s">
        <v>65</v>
      </c>
      <c r="B27" t="s">
        <v>89</v>
      </c>
      <c r="C27">
        <v>327</v>
      </c>
      <c r="D27" t="s">
        <v>87</v>
      </c>
      <c r="E27" s="2">
        <v>45270</v>
      </c>
    </row>
    <row r="28" spans="1:5" x14ac:dyDescent="0.25">
      <c r="A28" t="s">
        <v>65</v>
      </c>
      <c r="B28" t="s">
        <v>90</v>
      </c>
      <c r="C28">
        <v>347</v>
      </c>
      <c r="D28" t="s">
        <v>87</v>
      </c>
      <c r="E28" s="2">
        <v>45304</v>
      </c>
    </row>
    <row r="29" spans="1:5" x14ac:dyDescent="0.25">
      <c r="A29" t="s">
        <v>65</v>
      </c>
      <c r="B29" t="s">
        <v>91</v>
      </c>
      <c r="C29">
        <v>328</v>
      </c>
      <c r="D29" t="s">
        <v>87</v>
      </c>
      <c r="E29" s="2">
        <v>45270</v>
      </c>
    </row>
    <row r="30" spans="1:5" x14ac:dyDescent="0.25">
      <c r="A30" t="s">
        <v>65</v>
      </c>
      <c r="B30" t="s">
        <v>92</v>
      </c>
      <c r="C30">
        <v>350</v>
      </c>
      <c r="D30" t="s">
        <v>87</v>
      </c>
      <c r="E30" s="2">
        <v>45309</v>
      </c>
    </row>
    <row r="31" spans="1:5" x14ac:dyDescent="0.25">
      <c r="A31" t="s">
        <v>65</v>
      </c>
      <c r="B31" t="s">
        <v>93</v>
      </c>
      <c r="C31">
        <v>345</v>
      </c>
      <c r="D31" t="s">
        <v>87</v>
      </c>
      <c r="E31" s="2">
        <v>45304</v>
      </c>
    </row>
    <row r="32" spans="1:5" x14ac:dyDescent="0.25">
      <c r="A32" t="s">
        <v>65</v>
      </c>
      <c r="B32" t="s">
        <v>94</v>
      </c>
      <c r="C32">
        <v>18</v>
      </c>
      <c r="D32" t="s">
        <v>82</v>
      </c>
      <c r="E32" s="2">
        <v>45685</v>
      </c>
    </row>
    <row r="33" spans="1:5" x14ac:dyDescent="0.25">
      <c r="A33" t="s">
        <v>65</v>
      </c>
      <c r="B33">
        <v>1751</v>
      </c>
      <c r="C33">
        <v>1751</v>
      </c>
      <c r="D33" t="s">
        <v>98</v>
      </c>
      <c r="E33" s="2">
        <v>44166</v>
      </c>
    </row>
    <row r="34" spans="1:5" x14ac:dyDescent="0.25">
      <c r="A34" t="s">
        <v>65</v>
      </c>
      <c r="B34" t="s">
        <v>99</v>
      </c>
      <c r="C34">
        <v>42</v>
      </c>
      <c r="D34" t="s">
        <v>98</v>
      </c>
      <c r="E34" s="2">
        <v>45916</v>
      </c>
    </row>
    <row r="35" spans="1:5" x14ac:dyDescent="0.25">
      <c r="A35" t="s">
        <v>65</v>
      </c>
      <c r="B35" t="s">
        <v>101</v>
      </c>
      <c r="C35">
        <v>1557</v>
      </c>
      <c r="D35" t="s">
        <v>98</v>
      </c>
      <c r="E35" s="2">
        <v>44166</v>
      </c>
    </row>
    <row r="36" spans="1:5" x14ac:dyDescent="0.25">
      <c r="A36" t="s">
        <v>65</v>
      </c>
      <c r="B36" t="s">
        <v>103</v>
      </c>
      <c r="C36">
        <v>1731</v>
      </c>
      <c r="D36" t="s">
        <v>98</v>
      </c>
    </row>
    <row r="37" spans="1:5" x14ac:dyDescent="0.25">
      <c r="A37" t="s">
        <v>65</v>
      </c>
      <c r="B37" t="s">
        <v>105</v>
      </c>
      <c r="C37">
        <v>1697</v>
      </c>
      <c r="D37" t="s">
        <v>98</v>
      </c>
    </row>
    <row r="38" spans="1:5" x14ac:dyDescent="0.25">
      <c r="A38" t="s">
        <v>65</v>
      </c>
      <c r="B38" t="s">
        <v>106</v>
      </c>
      <c r="C38">
        <v>33</v>
      </c>
      <c r="D38" t="s">
        <v>98</v>
      </c>
      <c r="E38" s="2">
        <v>45939</v>
      </c>
    </row>
    <row r="39" spans="1:5" x14ac:dyDescent="0.25">
      <c r="A39" t="s">
        <v>65</v>
      </c>
      <c r="B39" t="s">
        <v>108</v>
      </c>
      <c r="C39">
        <v>1799</v>
      </c>
      <c r="D39" t="s">
        <v>98</v>
      </c>
      <c r="E39" s="2">
        <v>44169</v>
      </c>
    </row>
    <row r="40" spans="1:5" x14ac:dyDescent="0.25">
      <c r="A40" t="s">
        <v>65</v>
      </c>
      <c r="B40" t="s">
        <v>110</v>
      </c>
      <c r="C40">
        <v>504</v>
      </c>
      <c r="D40" t="s">
        <v>98</v>
      </c>
      <c r="E40" s="2">
        <v>43881</v>
      </c>
    </row>
    <row r="41" spans="1:5" x14ac:dyDescent="0.25">
      <c r="A41" t="s">
        <v>65</v>
      </c>
      <c r="B41" t="s">
        <v>114</v>
      </c>
      <c r="C41">
        <v>44</v>
      </c>
      <c r="D41" t="s">
        <v>98</v>
      </c>
      <c r="E41" s="2">
        <v>45983</v>
      </c>
    </row>
    <row r="42" spans="1:5" x14ac:dyDescent="0.25">
      <c r="A42" t="s">
        <v>65</v>
      </c>
      <c r="B42" t="s">
        <v>115</v>
      </c>
      <c r="C42">
        <v>1479</v>
      </c>
      <c r="D42" t="s">
        <v>98</v>
      </c>
      <c r="E42" s="2">
        <v>44127</v>
      </c>
    </row>
    <row r="43" spans="1:5" x14ac:dyDescent="0.25">
      <c r="A43" t="s">
        <v>65</v>
      </c>
      <c r="B43" t="s">
        <v>116</v>
      </c>
      <c r="C43">
        <v>46</v>
      </c>
      <c r="D43" t="s">
        <v>98</v>
      </c>
    </row>
    <row r="44" spans="1:5" x14ac:dyDescent="0.25">
      <c r="A44" t="s">
        <v>65</v>
      </c>
      <c r="B44" t="s">
        <v>117</v>
      </c>
      <c r="C44" t="s">
        <v>117</v>
      </c>
      <c r="D44" t="s">
        <v>98</v>
      </c>
      <c r="E44" s="2">
        <v>43829</v>
      </c>
    </row>
    <row r="45" spans="1:5" x14ac:dyDescent="0.25">
      <c r="A45" t="s">
        <v>65</v>
      </c>
      <c r="B45">
        <v>1726</v>
      </c>
      <c r="C45">
        <v>1726</v>
      </c>
      <c r="D45" t="s">
        <v>98</v>
      </c>
    </row>
    <row r="46" spans="1:5" x14ac:dyDescent="0.25">
      <c r="A46" t="s">
        <v>65</v>
      </c>
      <c r="B46" t="s">
        <v>118</v>
      </c>
      <c r="C46">
        <v>1810</v>
      </c>
      <c r="D46" t="s">
        <v>98</v>
      </c>
      <c r="E46" s="2">
        <v>44175</v>
      </c>
    </row>
    <row r="47" spans="1:5" x14ac:dyDescent="0.25">
      <c r="A47" t="s">
        <v>65</v>
      </c>
      <c r="B47">
        <v>127</v>
      </c>
      <c r="C47">
        <v>127</v>
      </c>
      <c r="D47" t="s">
        <v>30</v>
      </c>
    </row>
    <row r="48" spans="1:5" x14ac:dyDescent="0.25">
      <c r="A48" t="s">
        <v>65</v>
      </c>
      <c r="B48">
        <v>49</v>
      </c>
      <c r="C48">
        <v>49</v>
      </c>
      <c r="D48" t="s">
        <v>30</v>
      </c>
    </row>
    <row r="49" spans="1:5" x14ac:dyDescent="0.25">
      <c r="A49" t="s">
        <v>65</v>
      </c>
      <c r="B49">
        <v>57</v>
      </c>
      <c r="C49">
        <v>57</v>
      </c>
      <c r="D49" t="s">
        <v>30</v>
      </c>
    </row>
    <row r="50" spans="1:5" x14ac:dyDescent="0.25">
      <c r="A50" t="s">
        <v>65</v>
      </c>
      <c r="B50" t="s">
        <v>120</v>
      </c>
      <c r="C50">
        <v>294</v>
      </c>
      <c r="D50" t="s">
        <v>87</v>
      </c>
      <c r="E50" s="2">
        <v>45125</v>
      </c>
    </row>
    <row r="51" spans="1:5" x14ac:dyDescent="0.25">
      <c r="A51" t="s">
        <v>65</v>
      </c>
      <c r="B51" t="s">
        <v>121</v>
      </c>
      <c r="C51">
        <v>310</v>
      </c>
      <c r="D51" t="s">
        <v>87</v>
      </c>
      <c r="E51" s="2">
        <v>45184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
  <sheetViews>
    <sheetView workbookViewId="0"/>
  </sheetViews>
  <sheetFormatPr baseColWidth="10" defaultColWidth="9.140625" defaultRowHeight="15" x14ac:dyDescent="0.25"/>
  <sheetData>
    <row r="1" spans="1:2" x14ac:dyDescent="0.25">
      <c r="A1" s="1" t="s">
        <v>273</v>
      </c>
      <c r="B1" s="1" t="s">
        <v>303</v>
      </c>
    </row>
    <row r="2" spans="1:2" x14ac:dyDescent="0.25">
      <c r="A2" t="s">
        <v>304</v>
      </c>
    </row>
    <row r="3" spans="1:2" x14ac:dyDescent="0.25">
      <c r="A3" t="s">
        <v>305</v>
      </c>
    </row>
    <row r="4" spans="1:2" x14ac:dyDescent="0.25">
      <c r="A4" t="s">
        <v>306</v>
      </c>
    </row>
    <row r="5" spans="1:2" x14ac:dyDescent="0.25">
      <c r="A5" t="s">
        <v>307</v>
      </c>
    </row>
    <row r="6" spans="1:2" x14ac:dyDescent="0.25">
      <c r="A6" t="s">
        <v>308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
  <sheetViews>
    <sheetView workbookViewId="0"/>
  </sheetViews>
  <sheetFormatPr baseColWidth="10" defaultColWidth="9.140625" defaultRowHeight="15" x14ac:dyDescent="0.25"/>
  <sheetData>
    <row r="1" spans="1:9" x14ac:dyDescent="0.25">
      <c r="A1" s="1" t="s">
        <v>2</v>
      </c>
      <c r="B1" s="1" t="s">
        <v>152</v>
      </c>
      <c r="C1" s="1" t="s">
        <v>309</v>
      </c>
      <c r="D1" s="1" t="s">
        <v>310</v>
      </c>
      <c r="E1" s="1" t="s">
        <v>311</v>
      </c>
      <c r="F1" s="1" t="s">
        <v>312</v>
      </c>
      <c r="G1" s="1" t="s">
        <v>313</v>
      </c>
      <c r="H1" s="1" t="s">
        <v>314</v>
      </c>
      <c r="I1" s="1" t="s">
        <v>315</v>
      </c>
    </row>
  </sheetData>
  <conditionalFormatting sqref="I2:I500">
    <cfRule type="cellIs" dxfId="2" priority="1" operator="equal">
      <formula>"REVISAR"</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heetViews>
  <sheetFormatPr baseColWidth="10" defaultColWidth="9.140625" defaultRowHeight="15" x14ac:dyDescent="0.25"/>
  <sheetData>
    <row r="1" spans="1:2" x14ac:dyDescent="0.25">
      <c r="A1" s="1" t="s">
        <v>294</v>
      </c>
      <c r="B1" s="1" t="s">
        <v>303</v>
      </c>
    </row>
    <row r="2" spans="1:2" x14ac:dyDescent="0.25">
      <c r="A2" t="s">
        <v>316</v>
      </c>
    </row>
    <row r="3" spans="1:2" x14ac:dyDescent="0.25">
      <c r="A3" t="s">
        <v>317</v>
      </c>
    </row>
    <row r="4" spans="1:2" x14ac:dyDescent="0.25">
      <c r="A4" t="s">
        <v>318</v>
      </c>
    </row>
    <row r="5" spans="1:2" x14ac:dyDescent="0.25">
      <c r="A5" t="s">
        <v>319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1"/>
  <sheetViews>
    <sheetView workbookViewId="0"/>
  </sheetViews>
  <sheetFormatPr baseColWidth="10" defaultColWidth="9.140625" defaultRowHeight="15" x14ac:dyDescent="0.25"/>
  <sheetData>
    <row r="1" spans="1:4" x14ac:dyDescent="0.25">
      <c r="A1" s="1" t="s">
        <v>2</v>
      </c>
      <c r="B1" s="1" t="s">
        <v>152</v>
      </c>
      <c r="C1" s="1" t="s">
        <v>320</v>
      </c>
      <c r="D1" s="1" t="s">
        <v>321</v>
      </c>
    </row>
    <row r="2" spans="1:4" x14ac:dyDescent="0.25">
      <c r="A2">
        <v>6</v>
      </c>
      <c r="B2" t="s">
        <v>12</v>
      </c>
      <c r="C2">
        <f>SUMIF(Produccion_Diaria!B:B,A2,Produccion_Diaria!G:G)</f>
        <v>0</v>
      </c>
      <c r="D2" t="e">
        <f>C2*Punto_Equilibrio!B1</f>
        <v>#VALUE!</v>
      </c>
    </row>
    <row r="3" spans="1:4" x14ac:dyDescent="0.25">
      <c r="A3">
        <v>10</v>
      </c>
      <c r="B3" t="s">
        <v>18</v>
      </c>
      <c r="C3">
        <f>SUMIF(Produccion_Diaria!B:B,A3,Produccion_Diaria!G:G)</f>
        <v>0</v>
      </c>
      <c r="D3" t="e">
        <f>C3*Punto_Equilibrio!B1</f>
        <v>#VALUE!</v>
      </c>
    </row>
    <row r="4" spans="1:4" x14ac:dyDescent="0.25">
      <c r="A4">
        <v>16</v>
      </c>
      <c r="B4" t="s">
        <v>22</v>
      </c>
      <c r="C4">
        <f>SUMIF(Produccion_Diaria!B:B,A4,Produccion_Diaria!G:G)</f>
        <v>0</v>
      </c>
      <c r="D4" t="e">
        <f>C4*Punto_Equilibrio!B1</f>
        <v>#VALUE!</v>
      </c>
    </row>
    <row r="5" spans="1:4" x14ac:dyDescent="0.25">
      <c r="A5">
        <v>403</v>
      </c>
      <c r="B5" t="s">
        <v>28</v>
      </c>
      <c r="C5">
        <f>SUMIF(Produccion_Diaria!B:B,A5,Produccion_Diaria!G:G)</f>
        <v>0</v>
      </c>
      <c r="D5" t="e">
        <f>C5*Punto_Equilibrio!B1</f>
        <v>#VALUE!</v>
      </c>
    </row>
    <row r="6" spans="1:4" x14ac:dyDescent="0.25">
      <c r="A6">
        <v>21</v>
      </c>
      <c r="B6">
        <v>21</v>
      </c>
      <c r="C6">
        <f>SUMIF(Produccion_Diaria!B:B,A6,Produccion_Diaria!G:G)</f>
        <v>0</v>
      </c>
      <c r="D6" t="e">
        <f>C6*Punto_Equilibrio!B1</f>
        <v>#VALUE!</v>
      </c>
    </row>
    <row r="7" spans="1:4" x14ac:dyDescent="0.25">
      <c r="A7">
        <v>47</v>
      </c>
      <c r="B7" t="s">
        <v>41</v>
      </c>
      <c r="C7">
        <f>SUMIF(Produccion_Diaria!B:B,A7,Produccion_Diaria!G:G)</f>
        <v>0</v>
      </c>
      <c r="D7" t="e">
        <f>C7*Punto_Equilibrio!B1</f>
        <v>#VALUE!</v>
      </c>
    </row>
    <row r="8" spans="1:4" x14ac:dyDescent="0.25">
      <c r="A8">
        <v>53</v>
      </c>
      <c r="B8">
        <v>53</v>
      </c>
      <c r="C8">
        <f>SUMIF(Produccion_Diaria!B:B,A8,Produccion_Diaria!G:G)</f>
        <v>0</v>
      </c>
      <c r="D8" t="e">
        <f>C8*Punto_Equilibrio!B1</f>
        <v>#VALUE!</v>
      </c>
    </row>
    <row r="9" spans="1:4" x14ac:dyDescent="0.25">
      <c r="B9" t="s">
        <v>52</v>
      </c>
      <c r="C9">
        <f>SUMIF(Produccion_Diaria!B:B,A9,Produccion_Diaria!G:G)</f>
        <v>0</v>
      </c>
      <c r="D9" t="e">
        <f>C9*Punto_Equilibrio!B1</f>
        <v>#VALUE!</v>
      </c>
    </row>
    <row r="10" spans="1:4" x14ac:dyDescent="0.25">
      <c r="B10" t="s">
        <v>54</v>
      </c>
      <c r="C10">
        <f>SUMIF(Produccion_Diaria!B:B,A10,Produccion_Diaria!G:G)</f>
        <v>0</v>
      </c>
      <c r="D10" t="e">
        <f>C10*Punto_Equilibrio!B1</f>
        <v>#VALUE!</v>
      </c>
    </row>
    <row r="11" spans="1:4" x14ac:dyDescent="0.25">
      <c r="A11">
        <v>45</v>
      </c>
      <c r="B11" t="s">
        <v>55</v>
      </c>
      <c r="C11">
        <f>SUMIF(Produccion_Diaria!B:B,A11,Produccion_Diaria!G:G)</f>
        <v>0</v>
      </c>
      <c r="D11" t="e">
        <f>C11*Punto_Equilibrio!B1</f>
        <v>#VALUE!</v>
      </c>
    </row>
    <row r="12" spans="1:4" x14ac:dyDescent="0.25">
      <c r="A12">
        <v>38</v>
      </c>
      <c r="B12">
        <v>38</v>
      </c>
      <c r="C12">
        <f>SUMIF(Produccion_Diaria!B:B,A12,Produccion_Diaria!G:G)</f>
        <v>0</v>
      </c>
      <c r="D12" t="e">
        <f>C12*Punto_Equilibrio!B1</f>
        <v>#VALUE!</v>
      </c>
    </row>
    <row r="13" spans="1:4" x14ac:dyDescent="0.25">
      <c r="A13">
        <v>186</v>
      </c>
      <c r="B13" t="s">
        <v>56</v>
      </c>
      <c r="C13">
        <f>SUMIF(Produccion_Diaria!B:B,A13,Produccion_Diaria!G:G)</f>
        <v>0</v>
      </c>
      <c r="D13" t="e">
        <f>C13*Punto_Equilibrio!B1</f>
        <v>#VALUE!</v>
      </c>
    </row>
    <row r="14" spans="1:4" x14ac:dyDescent="0.25">
      <c r="A14">
        <v>52</v>
      </c>
      <c r="B14" t="s">
        <v>58</v>
      </c>
      <c r="C14">
        <f>SUMIF(Produccion_Diaria!B:B,A14,Produccion_Diaria!G:G)</f>
        <v>0</v>
      </c>
      <c r="D14" t="e">
        <f>C14*Punto_Equilibrio!B1</f>
        <v>#VALUE!</v>
      </c>
    </row>
    <row r="15" spans="1:4" x14ac:dyDescent="0.25">
      <c r="B15" t="s">
        <v>60</v>
      </c>
      <c r="C15">
        <f>SUMIF(Produccion_Diaria!B:B,A15,Produccion_Diaria!G:G)</f>
        <v>0</v>
      </c>
      <c r="D15" t="e">
        <f>C15*Punto_Equilibrio!B1</f>
        <v>#VALUE!</v>
      </c>
    </row>
    <row r="16" spans="1:4" x14ac:dyDescent="0.25">
      <c r="A16">
        <v>78</v>
      </c>
      <c r="B16">
        <v>78</v>
      </c>
      <c r="C16">
        <f>SUMIF(Produccion_Diaria!B:B,A16,Produccion_Diaria!G:G)</f>
        <v>0</v>
      </c>
      <c r="D16" t="e">
        <f>C16*Punto_Equilibrio!B1</f>
        <v>#VALUE!</v>
      </c>
    </row>
    <row r="17" spans="1:4" x14ac:dyDescent="0.25">
      <c r="A17">
        <v>1317</v>
      </c>
      <c r="B17" t="s">
        <v>62</v>
      </c>
      <c r="C17">
        <f>SUMIF(Produccion_Diaria!B:B,A17,Produccion_Diaria!G:G)</f>
        <v>0</v>
      </c>
      <c r="D17" t="e">
        <f>C17*Punto_Equilibrio!B1</f>
        <v>#VALUE!</v>
      </c>
    </row>
    <row r="18" spans="1:4" x14ac:dyDescent="0.25">
      <c r="B18" t="s">
        <v>63</v>
      </c>
      <c r="C18">
        <f>SUMIF(Produccion_Diaria!B:B,A18,Produccion_Diaria!G:G)</f>
        <v>0</v>
      </c>
      <c r="D18" t="e">
        <f>C18*Punto_Equilibrio!B1</f>
        <v>#VALUE!</v>
      </c>
    </row>
    <row r="19" spans="1:4" x14ac:dyDescent="0.25">
      <c r="A19">
        <v>1152</v>
      </c>
      <c r="B19">
        <v>1152</v>
      </c>
      <c r="C19">
        <f>SUMIF(Produccion_Diaria!B:B,A19,Produccion_Diaria!G:G)</f>
        <v>0</v>
      </c>
      <c r="D19" t="e">
        <f>C19*Punto_Equilibrio!B1</f>
        <v>#VALUE!</v>
      </c>
    </row>
    <row r="20" spans="1:4" x14ac:dyDescent="0.25">
      <c r="A20">
        <v>818</v>
      </c>
      <c r="B20" t="s">
        <v>64</v>
      </c>
      <c r="C20">
        <f>SUMIF(Produccion_Diaria!B:B,A20,Produccion_Diaria!G:G)</f>
        <v>0</v>
      </c>
      <c r="D20" t="e">
        <f>C20*Punto_Equilibrio!B1</f>
        <v>#VALUE!</v>
      </c>
    </row>
    <row r="21" spans="1:4" x14ac:dyDescent="0.25">
      <c r="A21">
        <v>4</v>
      </c>
      <c r="B21" t="s">
        <v>66</v>
      </c>
      <c r="C21">
        <f>SUMIF(Produccion_Diaria!B:B,A21,Produccion_Diaria!G:G)</f>
        <v>0</v>
      </c>
      <c r="D21" t="e">
        <f>C21*Punto_Equilibrio!B1</f>
        <v>#VALUE!</v>
      </c>
    </row>
    <row r="22" spans="1:4" x14ac:dyDescent="0.25">
      <c r="A22">
        <v>22</v>
      </c>
      <c r="B22" t="s">
        <v>74</v>
      </c>
      <c r="C22">
        <f>SUMIF(Produccion_Diaria!B:B,A22,Produccion_Diaria!G:G)</f>
        <v>0</v>
      </c>
      <c r="D22" t="e">
        <f>C22*Punto_Equilibrio!B1</f>
        <v>#VALUE!</v>
      </c>
    </row>
    <row r="23" spans="1:4" x14ac:dyDescent="0.25">
      <c r="A23">
        <v>14</v>
      </c>
      <c r="B23" t="s">
        <v>77</v>
      </c>
      <c r="C23">
        <f>SUMIF(Produccion_Diaria!B:B,A23,Produccion_Diaria!G:G)</f>
        <v>0</v>
      </c>
      <c r="D23" t="e">
        <f>C23*Punto_Equilibrio!B1</f>
        <v>#VALUE!</v>
      </c>
    </row>
    <row r="24" spans="1:4" x14ac:dyDescent="0.25">
      <c r="A24">
        <v>320</v>
      </c>
      <c r="B24" t="s">
        <v>83</v>
      </c>
      <c r="C24">
        <f>SUMIF(Produccion_Diaria!B:B,A24,Produccion_Diaria!G:G)</f>
        <v>0</v>
      </c>
      <c r="D24" t="e">
        <f>C24*Punto_Equilibrio!B1</f>
        <v>#VALUE!</v>
      </c>
    </row>
    <row r="25" spans="1:4" x14ac:dyDescent="0.25">
      <c r="A25">
        <v>348</v>
      </c>
      <c r="B25" t="s">
        <v>85</v>
      </c>
      <c r="C25">
        <f>SUMIF(Produccion_Diaria!B:B,A25,Produccion_Diaria!G:G)</f>
        <v>0</v>
      </c>
      <c r="D25" t="e">
        <f>C25*Punto_Equilibrio!B1</f>
        <v>#VALUE!</v>
      </c>
    </row>
    <row r="26" spans="1:4" x14ac:dyDescent="0.25">
      <c r="A26">
        <v>330</v>
      </c>
      <c r="B26" t="s">
        <v>88</v>
      </c>
      <c r="C26">
        <f>SUMIF(Produccion_Diaria!B:B,A26,Produccion_Diaria!G:G)</f>
        <v>0</v>
      </c>
      <c r="D26" t="e">
        <f>C26*Punto_Equilibrio!B1</f>
        <v>#VALUE!</v>
      </c>
    </row>
    <row r="27" spans="1:4" x14ac:dyDescent="0.25">
      <c r="A27">
        <v>327</v>
      </c>
      <c r="B27" t="s">
        <v>89</v>
      </c>
      <c r="C27">
        <f>SUMIF(Produccion_Diaria!B:B,A27,Produccion_Diaria!G:G)</f>
        <v>0</v>
      </c>
      <c r="D27" t="e">
        <f>C27*Punto_Equilibrio!B1</f>
        <v>#VALUE!</v>
      </c>
    </row>
    <row r="28" spans="1:4" x14ac:dyDescent="0.25">
      <c r="A28">
        <v>347</v>
      </c>
      <c r="B28" t="s">
        <v>90</v>
      </c>
      <c r="C28">
        <f>SUMIF(Produccion_Diaria!B:B,A28,Produccion_Diaria!G:G)</f>
        <v>0</v>
      </c>
      <c r="D28" t="e">
        <f>C28*Punto_Equilibrio!B1</f>
        <v>#VALUE!</v>
      </c>
    </row>
    <row r="29" spans="1:4" x14ac:dyDescent="0.25">
      <c r="A29">
        <v>328</v>
      </c>
      <c r="B29" t="s">
        <v>91</v>
      </c>
      <c r="C29">
        <f>SUMIF(Produccion_Diaria!B:B,A29,Produccion_Diaria!G:G)</f>
        <v>0</v>
      </c>
      <c r="D29" t="e">
        <f>C29*Punto_Equilibrio!B1</f>
        <v>#VALUE!</v>
      </c>
    </row>
    <row r="30" spans="1:4" x14ac:dyDescent="0.25">
      <c r="A30">
        <v>350</v>
      </c>
      <c r="B30" t="s">
        <v>92</v>
      </c>
      <c r="C30">
        <f>SUMIF(Produccion_Diaria!B:B,A30,Produccion_Diaria!G:G)</f>
        <v>0</v>
      </c>
      <c r="D30" t="e">
        <f>C30*Punto_Equilibrio!B1</f>
        <v>#VALUE!</v>
      </c>
    </row>
    <row r="31" spans="1:4" x14ac:dyDescent="0.25">
      <c r="A31">
        <v>345</v>
      </c>
      <c r="B31" t="s">
        <v>93</v>
      </c>
      <c r="C31">
        <f>SUMIF(Produccion_Diaria!B:B,A31,Produccion_Diaria!G:G)</f>
        <v>0</v>
      </c>
      <c r="D31" t="e">
        <f>C31*Punto_Equilibrio!B1</f>
        <v>#VALUE!</v>
      </c>
    </row>
    <row r="32" spans="1:4" x14ac:dyDescent="0.25">
      <c r="A32">
        <v>18</v>
      </c>
      <c r="B32" t="s">
        <v>94</v>
      </c>
      <c r="C32">
        <f>SUMIF(Produccion_Diaria!B:B,A32,Produccion_Diaria!G:G)</f>
        <v>0</v>
      </c>
      <c r="D32" t="e">
        <f>C32*Punto_Equilibrio!B1</f>
        <v>#VALUE!</v>
      </c>
    </row>
    <row r="33" spans="1:4" x14ac:dyDescent="0.25">
      <c r="A33">
        <v>1751</v>
      </c>
      <c r="B33">
        <v>1751</v>
      </c>
      <c r="C33">
        <f>SUMIF(Produccion_Diaria!B:B,A33,Produccion_Diaria!G:G)</f>
        <v>0</v>
      </c>
      <c r="D33" t="e">
        <f>C33*Punto_Equilibrio!B1</f>
        <v>#VALUE!</v>
      </c>
    </row>
    <row r="34" spans="1:4" x14ac:dyDescent="0.25">
      <c r="A34">
        <v>42</v>
      </c>
      <c r="B34" t="s">
        <v>99</v>
      </c>
      <c r="C34">
        <f>SUMIF(Produccion_Diaria!B:B,A34,Produccion_Diaria!G:G)</f>
        <v>0</v>
      </c>
      <c r="D34" t="e">
        <f>C34*Punto_Equilibrio!B1</f>
        <v>#VALUE!</v>
      </c>
    </row>
    <row r="35" spans="1:4" x14ac:dyDescent="0.25">
      <c r="A35">
        <v>1557</v>
      </c>
      <c r="B35" t="s">
        <v>101</v>
      </c>
      <c r="C35">
        <f>SUMIF(Produccion_Diaria!B:B,A35,Produccion_Diaria!G:G)</f>
        <v>0</v>
      </c>
      <c r="D35" t="e">
        <f>C35*Punto_Equilibrio!B1</f>
        <v>#VALUE!</v>
      </c>
    </row>
    <row r="36" spans="1:4" x14ac:dyDescent="0.25">
      <c r="A36">
        <v>1731</v>
      </c>
      <c r="B36" t="s">
        <v>103</v>
      </c>
      <c r="C36">
        <f>SUMIF(Produccion_Diaria!B:B,A36,Produccion_Diaria!G:G)</f>
        <v>0</v>
      </c>
      <c r="D36" t="e">
        <f>C36*Punto_Equilibrio!B1</f>
        <v>#VALUE!</v>
      </c>
    </row>
    <row r="37" spans="1:4" x14ac:dyDescent="0.25">
      <c r="A37">
        <v>1697</v>
      </c>
      <c r="B37" t="s">
        <v>105</v>
      </c>
      <c r="C37">
        <f>SUMIF(Produccion_Diaria!B:B,A37,Produccion_Diaria!G:G)</f>
        <v>0</v>
      </c>
      <c r="D37" t="e">
        <f>C37*Punto_Equilibrio!B1</f>
        <v>#VALUE!</v>
      </c>
    </row>
    <row r="38" spans="1:4" x14ac:dyDescent="0.25">
      <c r="A38">
        <v>33</v>
      </c>
      <c r="B38" t="s">
        <v>106</v>
      </c>
      <c r="C38">
        <f>SUMIF(Produccion_Diaria!B:B,A38,Produccion_Diaria!G:G)</f>
        <v>0</v>
      </c>
      <c r="D38" t="e">
        <f>C38*Punto_Equilibrio!B1</f>
        <v>#VALUE!</v>
      </c>
    </row>
    <row r="39" spans="1:4" x14ac:dyDescent="0.25">
      <c r="A39">
        <v>1799</v>
      </c>
      <c r="B39" t="s">
        <v>108</v>
      </c>
      <c r="C39">
        <f>SUMIF(Produccion_Diaria!B:B,A39,Produccion_Diaria!G:G)</f>
        <v>0</v>
      </c>
      <c r="D39" t="e">
        <f>C39*Punto_Equilibrio!B1</f>
        <v>#VALUE!</v>
      </c>
    </row>
    <row r="40" spans="1:4" x14ac:dyDescent="0.25">
      <c r="A40">
        <v>504</v>
      </c>
      <c r="B40" t="s">
        <v>110</v>
      </c>
      <c r="C40">
        <f>SUMIF(Produccion_Diaria!B:B,A40,Produccion_Diaria!G:G)</f>
        <v>0</v>
      </c>
      <c r="D40" t="e">
        <f>C40*Punto_Equilibrio!B1</f>
        <v>#VALUE!</v>
      </c>
    </row>
    <row r="41" spans="1:4" x14ac:dyDescent="0.25">
      <c r="A41">
        <v>44</v>
      </c>
      <c r="B41" t="s">
        <v>114</v>
      </c>
      <c r="C41">
        <f>SUMIF(Produccion_Diaria!B:B,A41,Produccion_Diaria!G:G)</f>
        <v>0</v>
      </c>
      <c r="D41" t="e">
        <f>C41*Punto_Equilibrio!B1</f>
        <v>#VALUE!</v>
      </c>
    </row>
    <row r="42" spans="1:4" x14ac:dyDescent="0.25">
      <c r="A42">
        <v>1479</v>
      </c>
      <c r="B42" t="s">
        <v>115</v>
      </c>
      <c r="C42">
        <f>SUMIF(Produccion_Diaria!B:B,A42,Produccion_Diaria!G:G)</f>
        <v>0</v>
      </c>
      <c r="D42" t="e">
        <f>C42*Punto_Equilibrio!B1</f>
        <v>#VALUE!</v>
      </c>
    </row>
    <row r="43" spans="1:4" x14ac:dyDescent="0.25">
      <c r="A43">
        <v>46</v>
      </c>
      <c r="B43" t="s">
        <v>116</v>
      </c>
      <c r="C43">
        <f>SUMIF(Produccion_Diaria!B:B,A43,Produccion_Diaria!G:G)</f>
        <v>0</v>
      </c>
      <c r="D43" t="e">
        <f>C43*Punto_Equilibrio!B1</f>
        <v>#VALUE!</v>
      </c>
    </row>
    <row r="44" spans="1:4" x14ac:dyDescent="0.25">
      <c r="A44" t="s">
        <v>117</v>
      </c>
      <c r="B44" t="s">
        <v>117</v>
      </c>
      <c r="C44">
        <f>SUMIF(Produccion_Diaria!B:B,A44,Produccion_Diaria!G:G)</f>
        <v>0</v>
      </c>
      <c r="D44" t="e">
        <f>C44*Punto_Equilibrio!B1</f>
        <v>#VALUE!</v>
      </c>
    </row>
    <row r="45" spans="1:4" x14ac:dyDescent="0.25">
      <c r="A45">
        <v>1726</v>
      </c>
      <c r="B45">
        <v>1726</v>
      </c>
      <c r="C45">
        <f>SUMIF(Produccion_Diaria!B:B,A45,Produccion_Diaria!G:G)</f>
        <v>0</v>
      </c>
      <c r="D45" t="e">
        <f>C45*Punto_Equilibrio!B1</f>
        <v>#VALUE!</v>
      </c>
    </row>
    <row r="46" spans="1:4" x14ac:dyDescent="0.25">
      <c r="A46">
        <v>1810</v>
      </c>
      <c r="B46" t="s">
        <v>118</v>
      </c>
      <c r="C46">
        <f>SUMIF(Produccion_Diaria!B:B,A46,Produccion_Diaria!G:G)</f>
        <v>0</v>
      </c>
      <c r="D46" t="e">
        <f>C46*Punto_Equilibrio!B1</f>
        <v>#VALUE!</v>
      </c>
    </row>
    <row r="47" spans="1:4" x14ac:dyDescent="0.25">
      <c r="A47">
        <v>127</v>
      </c>
      <c r="B47">
        <v>127</v>
      </c>
      <c r="C47">
        <f>SUMIF(Produccion_Diaria!B:B,A47,Produccion_Diaria!G:G)</f>
        <v>0</v>
      </c>
      <c r="D47" t="e">
        <f>C47*Punto_Equilibrio!B1</f>
        <v>#VALUE!</v>
      </c>
    </row>
    <row r="48" spans="1:4" x14ac:dyDescent="0.25">
      <c r="A48">
        <v>49</v>
      </c>
      <c r="B48">
        <v>49</v>
      </c>
      <c r="C48">
        <f>SUMIF(Produccion_Diaria!B:B,A48,Produccion_Diaria!G:G)</f>
        <v>0</v>
      </c>
      <c r="D48" t="e">
        <f>C48*Punto_Equilibrio!B1</f>
        <v>#VALUE!</v>
      </c>
    </row>
    <row r="49" spans="1:4" x14ac:dyDescent="0.25">
      <c r="A49">
        <v>57</v>
      </c>
      <c r="B49">
        <v>57</v>
      </c>
      <c r="C49">
        <f>SUMIF(Produccion_Diaria!B:B,A49,Produccion_Diaria!G:G)</f>
        <v>0</v>
      </c>
      <c r="D49" t="e">
        <f>C49*Punto_Equilibrio!B1</f>
        <v>#VALUE!</v>
      </c>
    </row>
    <row r="50" spans="1:4" x14ac:dyDescent="0.25">
      <c r="A50">
        <v>294</v>
      </c>
      <c r="B50" t="s">
        <v>120</v>
      </c>
      <c r="C50">
        <f>SUMIF(Produccion_Diaria!B:B,A50,Produccion_Diaria!G:G)</f>
        <v>0</v>
      </c>
      <c r="D50" t="e">
        <f>C50*Punto_Equilibrio!B1</f>
        <v>#VALUE!</v>
      </c>
    </row>
    <row r="51" spans="1:4" x14ac:dyDescent="0.25">
      <c r="A51">
        <v>310</v>
      </c>
      <c r="B51" t="s">
        <v>121</v>
      </c>
      <c r="C51">
        <f>SUMIF(Produccion_Diaria!B:B,A51,Produccion_Diaria!G:G)</f>
        <v>0</v>
      </c>
      <c r="D51" t="e">
        <f>C51*Punto_Equilibrio!B1</f>
        <v>#VALUE!</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7"/>
  <sheetViews>
    <sheetView workbookViewId="0"/>
  </sheetViews>
  <sheetFormatPr baseColWidth="10" defaultColWidth="9.140625" defaultRowHeight="15" x14ac:dyDescent="0.25"/>
  <sheetData>
    <row r="1" spans="1:2" x14ac:dyDescent="0.25">
      <c r="A1" s="1" t="s">
        <v>273</v>
      </c>
      <c r="B1" s="1" t="s">
        <v>303</v>
      </c>
    </row>
    <row r="2" spans="1:2" x14ac:dyDescent="0.25">
      <c r="A2" t="s">
        <v>322</v>
      </c>
      <c r="B2">
        <f>SUM(Venta_Queso!E:E)</f>
        <v>9746900</v>
      </c>
    </row>
    <row r="3" spans="1:2" x14ac:dyDescent="0.25">
      <c r="A3" t="s">
        <v>323</v>
      </c>
      <c r="B3">
        <f>SUM(Compra_Leche!D:D)</f>
        <v>8374000</v>
      </c>
    </row>
    <row r="4" spans="1:2" x14ac:dyDescent="0.25">
      <c r="A4" t="s">
        <v>324</v>
      </c>
      <c r="B4">
        <f>SUM(Transporte_Leche!D:D)</f>
        <v>476000</v>
      </c>
    </row>
    <row r="5" spans="1:2" x14ac:dyDescent="0.25">
      <c r="A5" t="s">
        <v>325</v>
      </c>
      <c r="B5">
        <f>SUM(Medicamentos!H:H)</f>
        <v>0</v>
      </c>
    </row>
    <row r="6" spans="1:2" x14ac:dyDescent="0.25">
      <c r="A6" t="s">
        <v>326</v>
      </c>
      <c r="B6">
        <f>SUM(Gastos_Fijos!B:B)</f>
        <v>30404000</v>
      </c>
    </row>
    <row r="7" spans="1:2" x14ac:dyDescent="0.25">
      <c r="A7" t="s">
        <v>327</v>
      </c>
      <c r="B7">
        <f>B2-B3-B4-B5-B6</f>
        <v>-29507100</v>
      </c>
    </row>
  </sheetData>
  <conditionalFormatting sqref="B7">
    <cfRule type="cellIs" dxfId="1" priority="1" operator="lessThan">
      <formula>0</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3"/>
  <sheetViews>
    <sheetView workbookViewId="0"/>
  </sheetViews>
  <sheetFormatPr baseColWidth="10" defaultColWidth="9.140625" defaultRowHeight="15" x14ac:dyDescent="0.25"/>
  <sheetData>
    <row r="1" spans="1:2" x14ac:dyDescent="0.25">
      <c r="A1" s="1" t="s">
        <v>273</v>
      </c>
      <c r="B1" s="1" t="s">
        <v>303</v>
      </c>
    </row>
    <row r="2" spans="1:2" x14ac:dyDescent="0.25">
      <c r="A2" t="s">
        <v>328</v>
      </c>
      <c r="B2">
        <f>Utilidad_Mensual!B7*12</f>
        <v>-354085200</v>
      </c>
    </row>
    <row r="3" spans="1:2" x14ac:dyDescent="0.25">
      <c r="A3" t="s">
        <v>329</v>
      </c>
      <c r="B3">
        <f>SUM(Produccion_Diaria!G:G)*12</f>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5"/>
  <sheetViews>
    <sheetView workbookViewId="0"/>
  </sheetViews>
  <sheetFormatPr baseColWidth="10" defaultColWidth="9.140625" defaultRowHeight="15" x14ac:dyDescent="0.25"/>
  <sheetData>
    <row r="1" spans="1:2" ht="18.75" x14ac:dyDescent="0.3">
      <c r="A1" s="3" t="s">
        <v>330</v>
      </c>
    </row>
    <row r="3" spans="1:2" x14ac:dyDescent="0.25">
      <c r="A3" t="s">
        <v>331</v>
      </c>
      <c r="B3">
        <f>COUNTIF(Control_Reproductivo!I:I,"REVISAR")</f>
        <v>0</v>
      </c>
    </row>
    <row r="4" spans="1:2" x14ac:dyDescent="0.25">
      <c r="A4" t="s">
        <v>332</v>
      </c>
      <c r="B4">
        <f>COUNTIF(Produccion_Diaria!G:G,"&lt;4")</f>
        <v>0</v>
      </c>
    </row>
    <row r="5" spans="1:2" x14ac:dyDescent="0.25">
      <c r="A5" t="s">
        <v>333</v>
      </c>
      <c r="B5" t="str">
        <f>IF(Utilidad_Mensual!B7&lt;0,"PERDIDA","UTILIDAD")</f>
        <v>PERDIDA</v>
      </c>
    </row>
  </sheetData>
  <conditionalFormatting sqref="B5">
    <cfRule type="cellIs" dxfId="0" priority="1" operator="equal">
      <formula>"PERDIDA"</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Bovinos_Activos</vt:lpstr>
      <vt:lpstr>Bovinos_Bruto</vt:lpstr>
      <vt:lpstr>Medicamentos</vt:lpstr>
      <vt:lpstr>Compra_Leche</vt:lpstr>
      <vt:lpstr>Transporte_Leche</vt:lpstr>
      <vt:lpstr>Transporte_Queso</vt:lpstr>
      <vt:lpstr>Venta_Queso</vt:lpstr>
      <vt:lpstr>Gastos_Fijos</vt:lpstr>
      <vt:lpstr>Dashboard_Resumen</vt:lpstr>
      <vt:lpstr>Produccion_Diaria</vt:lpstr>
      <vt:lpstr>Vacas_Lactancia</vt:lpstr>
      <vt:lpstr>Punto_Equilibrio</vt:lpstr>
      <vt:lpstr>Control_Reproductivo</vt:lpstr>
      <vt:lpstr>Indicadores_Repro</vt:lpstr>
      <vt:lpstr>Ranking_Vacas</vt:lpstr>
      <vt:lpstr>Utilidad_Mensual</vt:lpstr>
      <vt:lpstr>Proyeccion_Anual</vt:lpstr>
      <vt:lpstr>Panel_Alertas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2026-02-18T14:47:58Z</dcterms:created>
  <dcterms:modified xsi:type="dcterms:W3CDTF">2026-02-18T15:17:41Z</dcterms:modified>
</cp:coreProperties>
</file>